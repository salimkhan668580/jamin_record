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public\"/>
    </mc:Choice>
  </mc:AlternateContent>
  <xr:revisionPtr revIDLastSave="0" documentId="13_ncr:1_{3B2711E7-68F9-4B82-83DF-13C1D0A1000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md_Aslam_Khan" sheetId="1" r:id="rId1"/>
    <sheet name="Md_Ali_details" sheetId="2" r:id="rId2"/>
    <sheet name="M.k.khan Details" sheetId="3" r:id="rId3"/>
    <sheet name="Md._Islam_Khan" sheetId="4" r:id="rId4"/>
    <sheet name="Junaid_Kh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" i="1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5" i="5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3" i="4"/>
  <c r="D4" i="4"/>
  <c r="D2" i="4"/>
  <c r="D3" i="5"/>
  <c r="D4" i="5"/>
  <c r="D2" i="5"/>
  <c r="D2" i="2"/>
  <c r="D2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</calcChain>
</file>

<file path=xl/sharedStrings.xml><?xml version="1.0" encoding="utf-8"?>
<sst xmlns="http://schemas.openxmlformats.org/spreadsheetml/2006/main" count="307" uniqueCount="117">
  <si>
    <t>0.3.7</t>
  </si>
  <si>
    <t>0.12.15</t>
  </si>
  <si>
    <t>0.3.2</t>
  </si>
  <si>
    <t>0.4.19</t>
  </si>
  <si>
    <t>0.3.8</t>
  </si>
  <si>
    <t>0.3.10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</si>
  <si>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</si>
  <si>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</si>
  <si>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</si>
  <si>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</si>
  <si>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</si>
  <si>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</si>
  <si>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</si>
  <si>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</si>
  <si>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</si>
  <si>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</si>
  <si>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</si>
  <si>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</si>
  <si>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</si>
  <si>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</si>
  <si>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</si>
  <si>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</si>
  <si>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</si>
  <si>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</si>
  <si>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</si>
  <si>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</si>
  <si>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</si>
  <si>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</si>
  <si>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</si>
  <si>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</si>
  <si>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</si>
  <si>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</si>
  <si>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</si>
  <si>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</si>
  <si>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</si>
  <si>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</si>
  <si>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</si>
  <si>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</si>
  <si>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</si>
  <si>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</si>
  <si>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</si>
  <si>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</si>
  <si>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</si>
  <si>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</si>
  <si>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</si>
  <si>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</si>
  <si>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</si>
  <si>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</si>
  <si>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</si>
  <si>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</si>
  <si>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</si>
  <si>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</si>
  <si>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</si>
  <si>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</si>
  <si>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</si>
  <si>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</si>
  <si>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</si>
  <si>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</si>
  <si>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</si>
  <si>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</si>
  <si>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</si>
  <si>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</si>
  <si>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</si>
  <si>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</si>
  <si>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</si>
  <si>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</si>
  <si>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</si>
  <si>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</si>
  <si>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</si>
  <si>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</si>
  <si>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</si>
  <si>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</si>
  <si>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</si>
  <si>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</si>
  <si>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</si>
  <si>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</si>
  <si>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Correct</t>
  </si>
  <si>
    <t>Status</t>
  </si>
  <si>
    <t>localName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</si>
  <si>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</si>
  <si>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</si>
  <si>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</si>
  <si>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</si>
  <si>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</si>
  <si>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</si>
  <si>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</si>
  <si>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</si>
  <si>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</si>
  <si>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</si>
  <si>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</si>
  <si>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</si>
  <si>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</si>
  <si>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</si>
  <si>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</si>
  <si>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</si>
  <si>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</si>
  <si>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</si>
  <si>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</si>
  <si>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</si>
  <si>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</si>
  <si>
    <t>धोबी वाला के बगल में</t>
  </si>
  <si>
    <t>चाभ बास</t>
  </si>
  <si>
    <t>0.5.5</t>
  </si>
  <si>
    <t>Wrong in the list that is 0.11.13</t>
  </si>
  <si>
    <t>0.0.0</t>
  </si>
  <si>
    <t xml:space="preserve">Remove from list and Add in Md. Ali rakba 0.4.0 </t>
  </si>
  <si>
    <t>Need to divide correctly</t>
  </si>
  <si>
    <t>Added in list and removed from Md.Ali</t>
  </si>
  <si>
    <t>बद्री वाला</t>
  </si>
  <si>
    <t>Removed and Added in M.k.khan</t>
  </si>
  <si>
    <t>9617/12407</t>
  </si>
  <si>
    <t>9794 , 9769 , 9797, 9793</t>
  </si>
  <si>
    <t>0.1.14</t>
  </si>
  <si>
    <t>0.1.15</t>
  </si>
  <si>
    <t>Added in Md Ali 0.1.15</t>
  </si>
  <si>
    <t>Added in Md Ali 0.4.0</t>
  </si>
  <si>
    <t>Wrong in the list that is  0.3.9  rest 0.1.15 add in Md.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</si>
</sst>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opLeftCell="A11" workbookViewId="0">
      <selection activeCell="F6" sqref="F6"/>
    </sheetView>
  </sheetViews>
  <sheetFormatPr defaultColWidth="12.6328125" defaultRowHeight="15.75" customHeight="1" x14ac:dyDescent="0.25"/>
  <cols>
    <col min="2" max="2" width="12.6328125" style="3"/>
    <col min="4" max="4" width="12.6328125" style="3"/>
    <col min="5" max="5" width="17.7265625" customWidth="1"/>
  </cols>
  <sheetData>
    <row r="1" spans="1:7" ht="15.75" customHeight="1" x14ac:dyDescent="0.25">
      <c r="A1" s="4" t="s">
        <v>70</v>
      </c>
      <c r="B1" s="4" t="s">
        <v>71</v>
      </c>
      <c r="C1" s="2" t="s">
        <v>72</v>
      </c>
      <c r="D1" s="4" t="s">
        <v>73</v>
      </c>
      <c r="E1" s="2" t="s">
        <v>77</v>
      </c>
      <c r="F1" s="4" t="s">
        <v>74</v>
      </c>
      <c r="G1" s="2" t="s">
        <v>78</v>
      </c>
    </row>
    <row r="2" spans="1:7" ht="15.75" customHeight="1" x14ac:dyDescent="0.25">
      <c r="A2">
        <v>1046</v>
      </c>
      <c r="B2" s="3">
        <v>9844</v>
      </c>
      <c r="C2" s="1" t="s">
        <v>2</v>
      </c>
      <c r="D2" s="6">
        <f>IF(C2="","",VALUE(_xlfn.TEXTBEFORE(C2,"."))*60+VALUE(_xlfn.TEXTBEFORE(_xlfn.TEXTAFTER(C2,"."),"."))*7.5+VALUE(_xlfn.TEXTAFTER(C2,".",2))*0.375)</f>
        <v>23.25</v>
      </c>
      <c r="E2" s="1" t="s">
        <v>76</v>
      </c>
      <c r="F2" s="1"/>
    </row>
    <row r="3" spans="1:7" ht="15.75" customHeight="1" x14ac:dyDescent="0.25">
      <c r="A3">
        <v>1046</v>
      </c>
      <c r="B3" s="3">
        <v>9842</v>
      </c>
      <c r="C3" s="1" t="s">
        <v>4</v>
      </c>
      <c r="D3" s="6">
        <f t="shared" ref="D3:D27" si="0">IF(C3="","",VALUE(_xlfn.TEXTBEFORE(C3,"."))*60+VALUE(_xlfn.TEXTBEFORE(_xlfn.TEXTAFTER(C3,"."),"."))*7.5+VALUE(_xlfn.TEXTAFTER(C3,".",2))*0.375)</f>
        <v>25.5</v>
      </c>
      <c r="E3" s="1" t="s">
        <v>76</v>
      </c>
      <c r="F3" s="1"/>
    </row>
    <row r="4" spans="1:7" ht="15.75" customHeight="1" x14ac:dyDescent="0.25">
      <c r="A4">
        <v>1046</v>
      </c>
      <c r="B4" s="3">
        <v>9741</v>
      </c>
      <c r="C4" s="1" t="s">
        <v>7</v>
      </c>
      <c r="D4" s="6">
        <f t="shared" si="0"/>
        <v>32.25</v>
      </c>
      <c r="E4" s="1" t="s">
        <v>76</v>
      </c>
    </row>
    <row r="5" spans="1:7" ht="15.75" customHeight="1" x14ac:dyDescent="0.25">
      <c r="A5">
        <v>1047</v>
      </c>
      <c r="B5" s="3">
        <v>9882</v>
      </c>
      <c r="C5" s="1" t="s">
        <v>3</v>
      </c>
      <c r="D5" s="6">
        <f t="shared" si="0"/>
        <v>37.125</v>
      </c>
      <c r="E5" s="1" t="s">
        <v>76</v>
      </c>
    </row>
    <row r="6" spans="1:7" ht="15.75" customHeight="1" x14ac:dyDescent="0.25">
      <c r="A6">
        <v>1047</v>
      </c>
      <c r="B6" s="3">
        <v>9847</v>
      </c>
      <c r="C6" s="1" t="s">
        <v>12</v>
      </c>
      <c r="D6" s="6">
        <f t="shared" si="0"/>
        <v>75</v>
      </c>
      <c r="E6" s="1" t="s">
        <v>76</v>
      </c>
    </row>
    <row r="7" spans="1:7" ht="15.75" customHeight="1" x14ac:dyDescent="0.25">
      <c r="A7">
        <v>1047</v>
      </c>
      <c r="B7" s="3">
        <v>9559</v>
      </c>
      <c r="C7" s="1" t="s">
        <v>3</v>
      </c>
      <c r="D7" s="6">
        <f t="shared" si="0"/>
        <v>37.125</v>
      </c>
      <c r="E7" s="1" t="s">
        <v>76</v>
      </c>
    </row>
    <row r="8" spans="1:7" ht="15.75" customHeight="1" x14ac:dyDescent="0.25">
      <c r="A8">
        <v>1047</v>
      </c>
      <c r="B8" s="3">
        <v>9572</v>
      </c>
      <c r="C8" s="1" t="s">
        <v>15</v>
      </c>
      <c r="D8" s="6">
        <f t="shared" si="0"/>
        <v>62.25</v>
      </c>
      <c r="E8" s="1" t="s">
        <v>76</v>
      </c>
    </row>
    <row r="9" spans="1:7" ht="15.75" customHeight="1" x14ac:dyDescent="0.25">
      <c r="A9">
        <v>1450</v>
      </c>
      <c r="B9" s="3">
        <v>7027</v>
      </c>
      <c r="C9" s="1" t="s">
        <v>16</v>
      </c>
      <c r="D9" s="6">
        <f t="shared" si="0"/>
        <v>8.25</v>
      </c>
      <c r="E9" s="1" t="s">
        <v>76</v>
      </c>
    </row>
    <row r="10" spans="1:7" ht="15.75" customHeight="1" x14ac:dyDescent="0.25">
      <c r="A10">
        <v>1451</v>
      </c>
      <c r="B10" s="3">
        <v>9629</v>
      </c>
      <c r="C10" s="1" t="s">
        <v>17</v>
      </c>
      <c r="D10" s="6">
        <f t="shared" si="0"/>
        <v>7.875</v>
      </c>
      <c r="E10" s="1" t="s">
        <v>76</v>
      </c>
    </row>
    <row r="11" spans="1:7" ht="15.75" customHeight="1" x14ac:dyDescent="0.25">
      <c r="A11">
        <v>1451</v>
      </c>
      <c r="B11" s="3">
        <v>9467</v>
      </c>
      <c r="C11" s="1" t="s">
        <v>21</v>
      </c>
      <c r="D11" s="6">
        <f t="shared" si="0"/>
        <v>24.375</v>
      </c>
      <c r="E11" s="1" t="s">
        <v>76</v>
      </c>
    </row>
    <row r="12" spans="1:7" ht="15.75" customHeight="1" x14ac:dyDescent="0.25">
      <c r="A12">
        <v>1451</v>
      </c>
      <c r="B12" s="3">
        <v>9466</v>
      </c>
      <c r="C12" s="1" t="s">
        <v>24</v>
      </c>
      <c r="D12" s="6">
        <f t="shared" si="0"/>
        <v>25.875</v>
      </c>
      <c r="E12" s="1" t="s">
        <v>76</v>
      </c>
    </row>
    <row r="13" spans="1:7" ht="15.75" customHeight="1" x14ac:dyDescent="0.25">
      <c r="A13">
        <v>1452</v>
      </c>
      <c r="B13" s="3">
        <v>9834</v>
      </c>
      <c r="C13" s="1" t="s">
        <v>28</v>
      </c>
      <c r="D13" s="6">
        <f t="shared" si="0"/>
        <v>30</v>
      </c>
      <c r="E13" s="1" t="s">
        <v>76</v>
      </c>
    </row>
    <row r="14" spans="1:7" ht="15.75" customHeight="1" x14ac:dyDescent="0.25">
      <c r="A14">
        <v>1452</v>
      </c>
      <c r="B14" s="3">
        <v>9835</v>
      </c>
      <c r="C14" s="1" t="s">
        <v>30</v>
      </c>
      <c r="D14" s="6">
        <f t="shared" si="0"/>
        <v>18</v>
      </c>
      <c r="E14" s="1" t="s">
        <v>76</v>
      </c>
    </row>
    <row r="15" spans="1:7" ht="15.75" customHeight="1" x14ac:dyDescent="0.25">
      <c r="A15">
        <v>1452</v>
      </c>
      <c r="B15" s="3">
        <v>9759</v>
      </c>
      <c r="C15" s="1" t="s">
        <v>33</v>
      </c>
      <c r="D15" s="6">
        <f t="shared" si="0"/>
        <v>23.625</v>
      </c>
      <c r="E15" s="1" t="s">
        <v>76</v>
      </c>
    </row>
    <row r="16" spans="1:7" ht="15.75" customHeight="1" x14ac:dyDescent="0.25">
      <c r="A16">
        <v>1452</v>
      </c>
      <c r="B16" s="3">
        <v>9781</v>
      </c>
      <c r="C16" s="1" t="s">
        <v>35</v>
      </c>
      <c r="D16" s="6">
        <f t="shared" si="0"/>
        <v>15.375</v>
      </c>
      <c r="E16" s="1" t="s">
        <v>76</v>
      </c>
    </row>
    <row r="17" spans="1:5" ht="15.75" customHeight="1" x14ac:dyDescent="0.25">
      <c r="A17">
        <v>1452</v>
      </c>
      <c r="B17" s="3">
        <v>9782</v>
      </c>
      <c r="C17" s="1" t="s">
        <v>38</v>
      </c>
      <c r="D17" s="6">
        <f t="shared" si="0"/>
        <v>29.625</v>
      </c>
      <c r="E17" s="1" t="s">
        <v>76</v>
      </c>
    </row>
    <row r="18" spans="1:5" ht="15.75" customHeight="1" x14ac:dyDescent="0.25">
      <c r="A18">
        <v>1452</v>
      </c>
      <c r="B18" s="3">
        <v>9766</v>
      </c>
      <c r="C18" s="1" t="s">
        <v>42</v>
      </c>
      <c r="D18" s="6">
        <f t="shared" si="0"/>
        <v>16.875</v>
      </c>
      <c r="E18" s="1" t="s">
        <v>76</v>
      </c>
    </row>
    <row r="19" spans="1:5" ht="15.75" customHeight="1" x14ac:dyDescent="0.25">
      <c r="A19">
        <v>1452</v>
      </c>
      <c r="B19" s="3">
        <v>9618</v>
      </c>
      <c r="C19" s="1" t="s">
        <v>44</v>
      </c>
      <c r="D19" s="6">
        <f t="shared" si="0"/>
        <v>71.625</v>
      </c>
      <c r="E19" s="1" t="s">
        <v>76</v>
      </c>
    </row>
    <row r="20" spans="1:5" ht="15.75" customHeight="1" x14ac:dyDescent="0.25">
      <c r="A20">
        <v>1452</v>
      </c>
      <c r="B20" s="3">
        <v>9607</v>
      </c>
      <c r="C20" s="1" t="s">
        <v>46</v>
      </c>
      <c r="D20" s="6">
        <f t="shared" si="0"/>
        <v>13.5</v>
      </c>
      <c r="E20" s="1" t="s">
        <v>76</v>
      </c>
    </row>
    <row r="21" spans="1:5" ht="12.5" x14ac:dyDescent="0.25">
      <c r="A21">
        <v>1452</v>
      </c>
      <c r="B21" s="3">
        <v>9609</v>
      </c>
      <c r="C21" s="1" t="s">
        <v>48</v>
      </c>
      <c r="D21" s="6">
        <f t="shared" si="0"/>
        <v>21</v>
      </c>
      <c r="E21" s="1" t="s">
        <v>76</v>
      </c>
    </row>
    <row r="22" spans="1:5" ht="12.5" x14ac:dyDescent="0.25">
      <c r="A22">
        <v>1452</v>
      </c>
      <c r="B22" s="3">
        <v>9610</v>
      </c>
      <c r="C22" s="1" t="s">
        <v>50</v>
      </c>
      <c r="D22" s="6">
        <f t="shared" si="0"/>
        <v>79.5</v>
      </c>
      <c r="E22" s="1" t="s">
        <v>76</v>
      </c>
    </row>
    <row r="23" spans="1:5" ht="12.5" x14ac:dyDescent="0.25">
      <c r="A23">
        <v>1452</v>
      </c>
      <c r="B23" s="3">
        <v>9799</v>
      </c>
      <c r="C23" s="1" t="s">
        <v>51</v>
      </c>
      <c r="D23" s="6">
        <f t="shared" si="0"/>
        <v>5.625</v>
      </c>
      <c r="E23" s="1" t="s">
        <v>76</v>
      </c>
    </row>
    <row r="24" spans="1:5" ht="12.5" x14ac:dyDescent="0.25">
      <c r="A24">
        <v>1450</v>
      </c>
      <c r="B24" s="3">
        <v>9568</v>
      </c>
      <c r="C24" s="1" t="s">
        <v>30</v>
      </c>
      <c r="D24" s="6">
        <f t="shared" si="0"/>
        <v>18</v>
      </c>
      <c r="E24" s="1" t="s">
        <v>76</v>
      </c>
    </row>
    <row r="25" spans="1:5" ht="12.5" x14ac:dyDescent="0.25">
      <c r="A25">
        <v>2007</v>
      </c>
      <c r="B25" s="3">
        <v>9746</v>
      </c>
      <c r="C25" s="1" t="s">
        <v>55</v>
      </c>
      <c r="D25" s="6">
        <f t="shared" si="0"/>
        <v>48.75</v>
      </c>
      <c r="E25" s="1" t="s">
        <v>76</v>
      </c>
    </row>
    <row r="26" spans="1:5" ht="12.5" x14ac:dyDescent="0.25">
      <c r="A26">
        <v>1173</v>
      </c>
      <c r="B26" s="3">
        <v>9875</v>
      </c>
      <c r="C26" s="1" t="s">
        <v>58</v>
      </c>
      <c r="D26" s="6">
        <f t="shared" si="0"/>
        <v>43.875</v>
      </c>
      <c r="E26" s="1" t="s">
        <v>76</v>
      </c>
    </row>
    <row r="27" spans="1:5" ht="12.5" x14ac:dyDescent="0.25">
      <c r="A27">
        <v>1452</v>
      </c>
      <c r="B27" s="3">
        <v>9788</v>
      </c>
      <c r="C27" s="1" t="s">
        <v>51</v>
      </c>
      <c r="D27" s="6">
        <f t="shared" si="0"/>
        <v>5.625</v>
      </c>
      <c r="E27" s="1" t="s">
        <v>76</v>
      </c>
    </row>
  </sheetData>
  <dataValidations count="1">
    <dataValidation type="list" allowBlank="1" showInputMessage="1" showErrorMessage="1" sqref="E1:E27" xr:uid="{9155D37E-0268-4C14-B44B-BF03E755BB37}">
      <formula1>"Correct,Disputed"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23"/>
  <sheetViews>
    <sheetView tabSelected="1" topLeftCell="A10" workbookViewId="0">
      <selection activeCell="E16" sqref="E16"/>
    </sheetView>
  </sheetViews>
  <sheetFormatPr defaultColWidth="12.6328125" defaultRowHeight="15.75" customHeight="1" x14ac:dyDescent="0.25"/>
  <cols>
    <col min="1" max="2" width="12.6328125" style="3"/>
    <col min="6" max="6" width="29.54296875" customWidth="1"/>
  </cols>
  <sheetData>
    <row r="1" spans="1:7" ht="15.75" customHeight="1" x14ac:dyDescent="0.25">
      <c r="A1" s="4" t="s">
        <v>70</v>
      </c>
      <c r="B1" s="4" t="s">
        <v>71</v>
      </c>
      <c r="C1" s="2" t="s">
        <v>72</v>
      </c>
      <c r="D1" s="4" t="s">
        <v>73</v>
      </c>
      <c r="E1" s="2" t="s">
        <v>77</v>
      </c>
      <c r="F1" s="4" t="s">
        <v>74</v>
      </c>
      <c r="G1" s="2" t="s">
        <v>78</v>
      </c>
    </row>
    <row r="2" spans="1:7" ht="15.75" customHeight="1" x14ac:dyDescent="0.25">
      <c r="A2" s="3">
        <v>1047</v>
      </c>
      <c r="B2" s="3">
        <v>9879</v>
      </c>
      <c r="C2" s="1" t="s">
        <v>0</v>
      </c>
      <c r="D2" s="1">
        <f>IF(C2="","",VALUE(_xlfn.TEXTBEFORE(C2,"."))*60+VALUE(_xlfn.TEXTBEFORE(_xlfn.TEXTAFTER(C2,"."),"."))*7.5+VALUE(_xlfn.TEXTAFTER(C2,".",2))*0.375)</f>
        <v>25.125</v>
      </c>
      <c r="E2" s="1" t="s">
        <v>76</v>
      </c>
      <c r="F2" s="1"/>
    </row>
    <row r="3" spans="1:7" ht="15.75" customHeight="1" x14ac:dyDescent="0.25">
      <c r="A3" s="3">
        <v>1047</v>
      </c>
      <c r="B3" s="3">
        <v>9855</v>
      </c>
      <c r="C3" s="1" t="s">
        <v>6</v>
      </c>
      <c r="D3" s="1">
        <f t="shared" ref="D3:D23" si="0">IF(C3="","",VALUE(_xlfn.TEXTBEFORE(C3,"."))*60+VALUE(_xlfn.TEXTBEFORE(_xlfn.TEXTAFTER(C3,"."),"."))*7.5+VALUE(_xlfn.TEXTAFTER(C3,".",2))*0.375)</f>
        <v>77.625</v>
      </c>
      <c r="E3" s="1" t="s">
        <v>76</v>
      </c>
      <c r="F3" s="1"/>
    </row>
    <row r="4" spans="1:7" ht="15.75" customHeight="1" x14ac:dyDescent="0.25">
      <c r="A4" s="3">
        <v>1047</v>
      </c>
      <c r="B4" s="3">
        <v>9839</v>
      </c>
      <c r="C4" s="1" t="s">
        <v>11</v>
      </c>
      <c r="D4" s="1">
        <f t="shared" si="0"/>
        <v>44.625</v>
      </c>
      <c r="E4" s="1" t="s">
        <v>76</v>
      </c>
    </row>
    <row r="5" spans="1:7" ht="15.75" customHeight="1" x14ac:dyDescent="0.25">
      <c r="A5" s="3">
        <v>1450</v>
      </c>
      <c r="B5" s="3">
        <v>7027</v>
      </c>
      <c r="C5" s="1" t="s">
        <v>5</v>
      </c>
      <c r="D5" s="1">
        <f t="shared" si="0"/>
        <v>26.25</v>
      </c>
      <c r="E5" s="1" t="s">
        <v>76</v>
      </c>
    </row>
    <row r="6" spans="1:7" ht="15.75" customHeight="1" x14ac:dyDescent="0.25">
      <c r="A6" s="3">
        <v>1450</v>
      </c>
      <c r="B6" s="3">
        <v>9760</v>
      </c>
      <c r="C6" s="1" t="s">
        <v>0</v>
      </c>
      <c r="D6" s="1">
        <f t="shared" si="0"/>
        <v>25.125</v>
      </c>
      <c r="E6" s="1" t="s">
        <v>76</v>
      </c>
    </row>
    <row r="7" spans="1:7" ht="15.75" customHeight="1" x14ac:dyDescent="0.25">
      <c r="A7" s="3">
        <v>1451</v>
      </c>
      <c r="B7" s="3">
        <v>9629</v>
      </c>
      <c r="C7" s="1" t="s">
        <v>18</v>
      </c>
      <c r="D7" s="1">
        <f t="shared" si="0"/>
        <v>7.125</v>
      </c>
      <c r="E7" s="1" t="s">
        <v>76</v>
      </c>
    </row>
    <row r="8" spans="1:7" ht="15.75" customHeight="1" x14ac:dyDescent="0.25">
      <c r="A8" s="3">
        <v>1451</v>
      </c>
      <c r="B8" s="3">
        <v>9486</v>
      </c>
      <c r="C8" s="1" t="s">
        <v>20</v>
      </c>
      <c r="D8" s="1">
        <f t="shared" si="0"/>
        <v>37.5</v>
      </c>
      <c r="E8" s="1" t="s">
        <v>76</v>
      </c>
    </row>
    <row r="9" spans="1:7" ht="15.75" customHeight="1" x14ac:dyDescent="0.25">
      <c r="A9" s="3">
        <v>1451</v>
      </c>
      <c r="B9" s="3">
        <v>9467</v>
      </c>
      <c r="C9" s="1" t="s">
        <v>104</v>
      </c>
      <c r="D9" s="1">
        <f t="shared" si="0"/>
        <v>0</v>
      </c>
      <c r="E9" t="s">
        <v>76</v>
      </c>
      <c r="F9" t="s">
        <v>109</v>
      </c>
    </row>
    <row r="10" spans="1:7" ht="15.75" customHeight="1" x14ac:dyDescent="0.25">
      <c r="A10" s="3">
        <v>1451</v>
      </c>
      <c r="B10" s="3">
        <v>9466</v>
      </c>
      <c r="C10" s="1" t="s">
        <v>104</v>
      </c>
      <c r="D10" s="1">
        <f t="shared" si="0"/>
        <v>0</v>
      </c>
      <c r="E10" t="s">
        <v>76</v>
      </c>
      <c r="F10" t="s">
        <v>109</v>
      </c>
    </row>
    <row r="11" spans="1:7" ht="15.75" customHeight="1" x14ac:dyDescent="0.25">
      <c r="A11" s="3">
        <v>1452</v>
      </c>
      <c r="B11" s="3">
        <v>9835</v>
      </c>
      <c r="C11" s="1" t="s">
        <v>32</v>
      </c>
      <c r="D11" s="1">
        <f t="shared" si="0"/>
        <v>19.5</v>
      </c>
      <c r="E11" t="s">
        <v>76</v>
      </c>
    </row>
    <row r="12" spans="1:7" ht="15.75" customHeight="1" x14ac:dyDescent="0.25">
      <c r="A12" s="3">
        <v>1452</v>
      </c>
      <c r="B12" s="3">
        <v>9805</v>
      </c>
      <c r="C12" s="1" t="s">
        <v>37</v>
      </c>
      <c r="D12" s="1">
        <f t="shared" si="0"/>
        <v>10.125</v>
      </c>
      <c r="E12" t="s">
        <v>76</v>
      </c>
    </row>
    <row r="13" spans="1:7" ht="15.75" customHeight="1" x14ac:dyDescent="0.25">
      <c r="A13" s="3">
        <v>1452</v>
      </c>
      <c r="B13" s="3">
        <v>9807</v>
      </c>
      <c r="C13" s="1" t="s">
        <v>41</v>
      </c>
      <c r="D13" s="1">
        <f t="shared" si="0"/>
        <v>17.625</v>
      </c>
      <c r="E13" t="s">
        <v>76</v>
      </c>
    </row>
    <row r="14" spans="1:7" ht="15.75" customHeight="1" x14ac:dyDescent="0.25">
      <c r="A14" s="3">
        <v>1452</v>
      </c>
      <c r="B14" s="3">
        <v>9599</v>
      </c>
      <c r="C14" s="1" t="s">
        <v>27</v>
      </c>
      <c r="D14" s="1">
        <f t="shared" si="0"/>
        <v>12</v>
      </c>
      <c r="E14" t="s">
        <v>76</v>
      </c>
    </row>
    <row r="15" spans="1:7" ht="15.75" customHeight="1" x14ac:dyDescent="0.25">
      <c r="A15" s="3">
        <v>1452</v>
      </c>
      <c r="B15" s="3">
        <v>9600</v>
      </c>
      <c r="C15" s="1" t="s">
        <v>36</v>
      </c>
      <c r="D15" s="1">
        <f t="shared" si="0"/>
        <v>10.875</v>
      </c>
      <c r="E15" t="s">
        <v>76</v>
      </c>
    </row>
    <row r="16" spans="1:7" ht="15.75" customHeight="1" x14ac:dyDescent="0.25">
      <c r="A16" s="3">
        <v>1452</v>
      </c>
      <c r="B16" s="3">
        <v>9596</v>
      </c>
      <c r="C16" s="1" t="s">
        <v>34</v>
      </c>
      <c r="D16" s="1">
        <f t="shared" si="0"/>
        <v>76.5</v>
      </c>
      <c r="E16" t="s">
        <v>76</v>
      </c>
    </row>
    <row r="17" spans="1:6" ht="15.75" customHeight="1" x14ac:dyDescent="0.25">
      <c r="A17" s="3">
        <v>1452</v>
      </c>
      <c r="B17" s="3">
        <v>9781</v>
      </c>
      <c r="C17" s="1" t="s">
        <v>41</v>
      </c>
      <c r="D17" s="1">
        <f t="shared" si="0"/>
        <v>17.625</v>
      </c>
      <c r="E17" t="s">
        <v>76</v>
      </c>
    </row>
    <row r="18" spans="1:6" ht="15.75" customHeight="1" x14ac:dyDescent="0.25">
      <c r="A18" s="3">
        <v>1452</v>
      </c>
      <c r="B18" s="3">
        <v>9782</v>
      </c>
      <c r="C18" s="1" t="s">
        <v>38</v>
      </c>
      <c r="D18" s="1">
        <f t="shared" si="0"/>
        <v>29.625</v>
      </c>
      <c r="E18" t="s">
        <v>76</v>
      </c>
    </row>
    <row r="19" spans="1:6" ht="15.75" customHeight="1" x14ac:dyDescent="0.25">
      <c r="A19" s="3">
        <v>1452</v>
      </c>
      <c r="B19" s="3">
        <v>9614</v>
      </c>
      <c r="C19" s="1" t="s">
        <v>57</v>
      </c>
      <c r="D19" s="1">
        <f t="shared" si="0"/>
        <v>82.5</v>
      </c>
      <c r="E19" t="s">
        <v>76</v>
      </c>
    </row>
    <row r="20" spans="1:6" ht="15.75" customHeight="1" x14ac:dyDescent="0.25">
      <c r="A20" s="3">
        <v>2007</v>
      </c>
      <c r="B20" s="3">
        <v>9746</v>
      </c>
      <c r="C20" s="1" t="s">
        <v>57</v>
      </c>
      <c r="D20" s="1">
        <f t="shared" si="0"/>
        <v>82.5</v>
      </c>
      <c r="E20" t="s">
        <v>76</v>
      </c>
    </row>
    <row r="21" spans="1:6" ht="12.5" x14ac:dyDescent="0.25">
      <c r="A21" s="3">
        <v>1173</v>
      </c>
      <c r="B21" s="3">
        <v>9875</v>
      </c>
      <c r="C21" s="1" t="s">
        <v>25</v>
      </c>
      <c r="D21" s="1">
        <f t="shared" si="0"/>
        <v>43.5</v>
      </c>
      <c r="E21" t="s">
        <v>76</v>
      </c>
    </row>
    <row r="22" spans="1:6" ht="15.75" customHeight="1" x14ac:dyDescent="0.25">
      <c r="A22" s="3">
        <v>1452</v>
      </c>
      <c r="B22" s="3">
        <v>9766</v>
      </c>
      <c r="C22" s="1" t="s">
        <v>113</v>
      </c>
      <c r="D22" s="1">
        <f t="shared" si="0"/>
        <v>13.125</v>
      </c>
      <c r="E22" t="s">
        <v>76</v>
      </c>
      <c r="F22" t="s">
        <v>114</v>
      </c>
    </row>
    <row r="23" spans="1:6" ht="15.75" customHeight="1" x14ac:dyDescent="0.25">
      <c r="A23" s="3">
        <v>1452</v>
      </c>
      <c r="B23" s="3">
        <v>9834</v>
      </c>
      <c r="C23" s="1" t="s">
        <v>28</v>
      </c>
      <c r="D23" s="1">
        <f t="shared" si="0"/>
        <v>30</v>
      </c>
      <c r="E23" t="s">
        <v>76</v>
      </c>
      <c r="F23" t="s">
        <v>115</v>
      </c>
    </row>
  </sheetData>
  <dataValidations count="1">
    <dataValidation type="list" allowBlank="1" showInputMessage="1" showErrorMessage="1" sqref="E1:E1048576" xr:uid="{0A2671B1-1588-4FF0-9B05-702F684C477A}">
      <formula1>"Correct,Disputed"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5"/>
  <sheetViews>
    <sheetView topLeftCell="Q10" workbookViewId="0">
      <selection activeCell="F20" sqref="F20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47.36328125" customWidth="1"/>
    <col min="7" max="7" width="18.453125" bestFit="1" customWidth="1"/>
  </cols>
  <sheetData>
    <row r="1" spans="1:8" ht="15.75" customHeight="1" x14ac:dyDescent="0.25">
      <c r="A1" s="4" t="s">
        <v>70</v>
      </c>
      <c r="B1" s="4" t="s">
        <v>71</v>
      </c>
      <c r="C1" s="2" t="s">
        <v>72</v>
      </c>
      <c r="D1" s="4" t="s">
        <v>73</v>
      </c>
      <c r="E1" s="2" t="s">
        <v>77</v>
      </c>
      <c r="F1" s="4" t="s">
        <v>74</v>
      </c>
      <c r="G1" s="2" t="s">
        <v>78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76</v>
      </c>
      <c r="F2" s="1"/>
      <c r="G2" s="1" t="s">
        <v>100</v>
      </c>
      <c r="H2" s="1"/>
    </row>
    <row r="3" spans="1:8" ht="15.75" customHeight="1" x14ac:dyDescent="0.25">
      <c r="A3" s="3">
        <v>1047</v>
      </c>
      <c r="B3" s="6">
        <v>9577</v>
      </c>
      <c r="C3" s="1" t="s">
        <v>10</v>
      </c>
      <c r="D3" s="6">
        <v>64</v>
      </c>
      <c r="E3" s="1" t="s">
        <v>76</v>
      </c>
      <c r="F3" s="1"/>
      <c r="G3" s="1" t="s">
        <v>79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76</v>
      </c>
      <c r="F4" s="8" t="s">
        <v>106</v>
      </c>
      <c r="G4" s="8" t="s">
        <v>83</v>
      </c>
    </row>
    <row r="5" spans="1:8" ht="15.75" customHeight="1" x14ac:dyDescent="0.25">
      <c r="A5" s="3">
        <v>1450</v>
      </c>
      <c r="B5" s="6">
        <v>9628</v>
      </c>
      <c r="C5" s="1" t="s">
        <v>102</v>
      </c>
      <c r="D5" s="6">
        <v>39.375</v>
      </c>
      <c r="E5" s="8" t="s">
        <v>76</v>
      </c>
      <c r="F5" s="8" t="s">
        <v>103</v>
      </c>
      <c r="G5" t="s">
        <v>84</v>
      </c>
    </row>
    <row r="6" spans="1:8" ht="15.75" customHeight="1" x14ac:dyDescent="0.25">
      <c r="A6" s="3">
        <v>1452</v>
      </c>
      <c r="B6" s="6">
        <v>9615</v>
      </c>
      <c r="C6" s="1" t="s">
        <v>19</v>
      </c>
      <c r="D6" s="6">
        <v>56</v>
      </c>
      <c r="E6" s="1" t="s">
        <v>76</v>
      </c>
      <c r="F6" s="1"/>
      <c r="G6" s="8" t="s">
        <v>101</v>
      </c>
    </row>
    <row r="7" spans="1:8" ht="15.75" customHeight="1" x14ac:dyDescent="0.25">
      <c r="A7" s="3">
        <v>1452</v>
      </c>
      <c r="B7" s="6">
        <v>9823</v>
      </c>
      <c r="C7" s="1" t="s">
        <v>23</v>
      </c>
      <c r="D7" s="6">
        <v>46.2</v>
      </c>
      <c r="E7" s="1" t="s">
        <v>76</v>
      </c>
      <c r="F7" s="1"/>
      <c r="G7" s="8" t="s">
        <v>85</v>
      </c>
    </row>
    <row r="8" spans="1:8" ht="15.75" customHeight="1" x14ac:dyDescent="0.25">
      <c r="A8" s="3">
        <v>1452</v>
      </c>
      <c r="B8" s="6">
        <v>9830</v>
      </c>
      <c r="C8" s="1" t="s">
        <v>27</v>
      </c>
      <c r="D8" s="6">
        <v>12</v>
      </c>
      <c r="E8" s="1" t="s">
        <v>76</v>
      </c>
      <c r="F8" s="1"/>
      <c r="G8" t="s">
        <v>88</v>
      </c>
    </row>
    <row r="9" spans="1:8" ht="15.75" customHeight="1" x14ac:dyDescent="0.25">
      <c r="A9" s="3">
        <v>1452</v>
      </c>
      <c r="B9" s="6">
        <v>9834</v>
      </c>
      <c r="C9" s="1" t="s">
        <v>104</v>
      </c>
      <c r="D9" s="6">
        <v>0</v>
      </c>
      <c r="E9" s="8" t="s">
        <v>76</v>
      </c>
      <c r="F9" s="8" t="s">
        <v>105</v>
      </c>
      <c r="G9" t="s">
        <v>89</v>
      </c>
    </row>
    <row r="10" spans="1:8" ht="15.75" customHeight="1" x14ac:dyDescent="0.25">
      <c r="A10" s="3">
        <v>1452</v>
      </c>
      <c r="B10" s="6">
        <v>9835</v>
      </c>
      <c r="C10" s="1" t="s">
        <v>30</v>
      </c>
      <c r="D10" s="6">
        <v>18</v>
      </c>
      <c r="E10" s="1" t="s">
        <v>76</v>
      </c>
      <c r="F10" s="1"/>
      <c r="G10" t="s">
        <v>90</v>
      </c>
    </row>
    <row r="11" spans="1:8" ht="15.75" customHeight="1" x14ac:dyDescent="0.25">
      <c r="A11" s="3">
        <v>1452</v>
      </c>
      <c r="B11" s="6">
        <v>9825</v>
      </c>
      <c r="C11" s="1" t="s">
        <v>28</v>
      </c>
      <c r="D11" s="6">
        <v>30</v>
      </c>
      <c r="E11" s="1" t="s">
        <v>76</v>
      </c>
      <c r="F11" s="1"/>
      <c r="G11" t="s">
        <v>87</v>
      </c>
    </row>
    <row r="12" spans="1:8" ht="15.75" customHeight="1" x14ac:dyDescent="0.25">
      <c r="A12" s="3">
        <v>1452</v>
      </c>
      <c r="B12" s="6">
        <v>9826</v>
      </c>
      <c r="C12" s="1" t="s">
        <v>40</v>
      </c>
      <c r="D12" s="6">
        <v>29.25</v>
      </c>
      <c r="E12" s="1" t="s">
        <v>76</v>
      </c>
      <c r="F12" s="1"/>
      <c r="G12" t="s">
        <v>86</v>
      </c>
    </row>
    <row r="13" spans="1:8" ht="15.75" customHeight="1" x14ac:dyDescent="0.25">
      <c r="A13" s="3">
        <v>1452</v>
      </c>
      <c r="B13" s="7" t="s">
        <v>75</v>
      </c>
      <c r="C13" s="1" t="s">
        <v>15</v>
      </c>
      <c r="D13" s="6">
        <v>62</v>
      </c>
      <c r="E13" s="1" t="s">
        <v>76</v>
      </c>
      <c r="F13" s="1"/>
      <c r="G13" s="1" t="s">
        <v>91</v>
      </c>
    </row>
    <row r="14" spans="1:8" ht="15.75" customHeight="1" x14ac:dyDescent="0.25">
      <c r="A14" s="3">
        <v>1452</v>
      </c>
      <c r="B14" s="6">
        <v>9759</v>
      </c>
      <c r="C14" s="1" t="s">
        <v>33</v>
      </c>
      <c r="D14" s="6">
        <v>23.5</v>
      </c>
      <c r="E14" s="1" t="s">
        <v>76</v>
      </c>
      <c r="F14" s="1"/>
      <c r="G14" t="s">
        <v>92</v>
      </c>
    </row>
    <row r="15" spans="1:8" ht="15.75" customHeight="1" x14ac:dyDescent="0.25">
      <c r="A15" s="3">
        <v>1452</v>
      </c>
      <c r="B15" s="6">
        <v>9772</v>
      </c>
      <c r="C15" s="1" t="s">
        <v>47</v>
      </c>
      <c r="D15" s="6">
        <v>59</v>
      </c>
      <c r="E15" s="1" t="s">
        <v>76</v>
      </c>
      <c r="F15" s="1"/>
      <c r="G15" t="s">
        <v>93</v>
      </c>
    </row>
    <row r="16" spans="1:8" ht="15.75" customHeight="1" x14ac:dyDescent="0.25">
      <c r="A16" s="3">
        <v>1452</v>
      </c>
      <c r="B16" s="6">
        <v>9781</v>
      </c>
      <c r="C16" s="1" t="s">
        <v>49</v>
      </c>
      <c r="D16" s="6">
        <v>27</v>
      </c>
      <c r="E16" s="1" t="s">
        <v>76</v>
      </c>
      <c r="F16" s="1"/>
      <c r="G16" t="s">
        <v>94</v>
      </c>
    </row>
    <row r="17" spans="1:7" ht="15.75" customHeight="1" x14ac:dyDescent="0.25">
      <c r="A17" s="3">
        <v>1452</v>
      </c>
      <c r="B17" s="6">
        <v>9780</v>
      </c>
      <c r="C17" s="1" t="s">
        <v>43</v>
      </c>
      <c r="D17" s="6">
        <v>20.100000000000001</v>
      </c>
      <c r="E17" s="1" t="s">
        <v>76</v>
      </c>
      <c r="F17" s="1"/>
      <c r="G17" t="s">
        <v>94</v>
      </c>
    </row>
    <row r="18" spans="1:7" ht="15.75" customHeight="1" x14ac:dyDescent="0.25">
      <c r="A18" s="3">
        <v>1452</v>
      </c>
      <c r="B18" s="6">
        <v>9766</v>
      </c>
      <c r="C18" s="1" t="s">
        <v>112</v>
      </c>
      <c r="D18" s="6">
        <v>7.5</v>
      </c>
      <c r="E18" s="8" t="s">
        <v>76</v>
      </c>
      <c r="F18" s="1" t="s">
        <v>116</v>
      </c>
      <c r="G18" t="s">
        <v>95</v>
      </c>
    </row>
    <row r="19" spans="1:7" ht="15.75" customHeight="1" x14ac:dyDescent="0.25">
      <c r="A19" s="3">
        <v>1452</v>
      </c>
      <c r="B19" s="6">
        <v>9614</v>
      </c>
      <c r="C19" s="1" t="s">
        <v>54</v>
      </c>
      <c r="D19" s="6">
        <v>24</v>
      </c>
      <c r="E19" s="1" t="s">
        <v>76</v>
      </c>
      <c r="F19" s="1"/>
      <c r="G19" t="s">
        <v>96</v>
      </c>
    </row>
    <row r="20" spans="1:7" ht="15.75" customHeight="1" x14ac:dyDescent="0.25">
      <c r="A20" s="3">
        <v>1450</v>
      </c>
      <c r="B20" s="6" t="s">
        <v>81</v>
      </c>
      <c r="C20" s="1" t="s">
        <v>5</v>
      </c>
      <c r="D20" s="6">
        <v>26</v>
      </c>
      <c r="E20" s="1" t="s">
        <v>76</v>
      </c>
      <c r="F20" s="1"/>
      <c r="G20" s="1" t="s">
        <v>82</v>
      </c>
    </row>
    <row r="21" spans="1:7" ht="12.5" x14ac:dyDescent="0.25">
      <c r="A21" s="3">
        <v>2007</v>
      </c>
      <c r="B21" s="6">
        <v>9746</v>
      </c>
      <c r="C21" s="1" t="s">
        <v>28</v>
      </c>
      <c r="D21" s="6">
        <v>30</v>
      </c>
      <c r="E21" s="1" t="s">
        <v>76</v>
      </c>
      <c r="F21" s="1"/>
      <c r="G21" t="s">
        <v>97</v>
      </c>
    </row>
    <row r="22" spans="1:7" ht="12.5" x14ac:dyDescent="0.25">
      <c r="A22" s="3">
        <v>1173</v>
      </c>
      <c r="B22" s="6">
        <v>9578</v>
      </c>
      <c r="C22" s="1" t="s">
        <v>59</v>
      </c>
      <c r="D22" s="6">
        <v>34.75</v>
      </c>
      <c r="E22" s="1" t="s">
        <v>76</v>
      </c>
      <c r="G22" t="s">
        <v>80</v>
      </c>
    </row>
    <row r="23" spans="1:7" ht="12.5" x14ac:dyDescent="0.25">
      <c r="A23" s="5">
        <v>0</v>
      </c>
      <c r="B23" s="6" t="s">
        <v>99</v>
      </c>
      <c r="C23" s="1" t="s">
        <v>41</v>
      </c>
      <c r="D23" s="7">
        <v>0</v>
      </c>
      <c r="E23" s="1" t="s">
        <v>76</v>
      </c>
      <c r="F23" s="1"/>
      <c r="G23" s="1" t="s">
        <v>98</v>
      </c>
    </row>
    <row r="24" spans="1:7" ht="15.75" customHeight="1" x14ac:dyDescent="0.25">
      <c r="A24" s="3">
        <v>1451</v>
      </c>
      <c r="B24" s="3">
        <v>9467</v>
      </c>
      <c r="C24" s="1" t="s">
        <v>26</v>
      </c>
      <c r="D24" s="3">
        <v>24.5</v>
      </c>
      <c r="E24" s="1" t="s">
        <v>76</v>
      </c>
      <c r="F24" t="s">
        <v>107</v>
      </c>
      <c r="G24" t="s">
        <v>108</v>
      </c>
    </row>
    <row r="25" spans="1:7" ht="15.75" customHeight="1" x14ac:dyDescent="0.25">
      <c r="A25" s="3">
        <v>1451</v>
      </c>
      <c r="B25" s="3">
        <v>9466</v>
      </c>
      <c r="C25" s="1" t="s">
        <v>4</v>
      </c>
      <c r="D25" s="3">
        <v>25.5</v>
      </c>
      <c r="E25" s="1" t="s">
        <v>76</v>
      </c>
      <c r="F25" t="s">
        <v>107</v>
      </c>
      <c r="G25" t="s">
        <v>108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5"/>
  <sheetViews>
    <sheetView workbookViewId="0">
      <selection activeCell="D2" sqref="D2"/>
    </sheetView>
  </sheetViews>
  <sheetFormatPr defaultColWidth="12.6328125" defaultRowHeight="15.75" customHeight="1" x14ac:dyDescent="0.25"/>
  <cols>
    <col min="1" max="1" width="12.6328125" style="3"/>
    <col min="2" max="2" width="21.453125" style="3" bestFit="1" customWidth="1"/>
    <col min="4" max="4" width="12.6328125" style="3"/>
  </cols>
  <sheetData>
    <row r="1" spans="1:7" ht="15.75" customHeight="1" x14ac:dyDescent="0.25">
      <c r="A1" s="4" t="s">
        <v>70</v>
      </c>
      <c r="B1" s="4" t="s">
        <v>71</v>
      </c>
      <c r="C1" s="2" t="s">
        <v>72</v>
      </c>
      <c r="D1" s="4" t="s">
        <v>73</v>
      </c>
      <c r="E1" s="2" t="s">
        <v>77</v>
      </c>
      <c r="F1" s="4" t="s">
        <v>74</v>
      </c>
      <c r="G1" s="2" t="s">
        <v>78</v>
      </c>
    </row>
    <row r="2" spans="1:7" ht="15.75" customHeight="1" x14ac:dyDescent="0.25">
      <c r="A2" s="3">
        <v>1046</v>
      </c>
      <c r="B2" s="3">
        <v>9880</v>
      </c>
      <c r="C2" s="1" t="s">
        <v>1</v>
      </c>
      <c r="D2" s="6">
        <f>IF(C2="","",VALUE(_xlfn.TEXTBEFORE(C2,"."))*60+VALUE(_xlfn.TEXTBEFORE(_xlfn.TEXTAFTER(C2,"."),"."))*7.5+VALUE(_xlfn.TEXTAFTER(C2,".",2))*0.375)</f>
        <v>95.625</v>
      </c>
      <c r="E2" s="1" t="s">
        <v>76</v>
      </c>
      <c r="F2" s="1"/>
    </row>
    <row r="3" spans="1:7" ht="15.75" customHeight="1" x14ac:dyDescent="0.25">
      <c r="A3" s="3">
        <v>1450</v>
      </c>
      <c r="B3" s="3">
        <v>7027</v>
      </c>
      <c r="C3" s="1" t="s">
        <v>5</v>
      </c>
      <c r="D3" s="6">
        <f t="shared" ref="D3:D25" si="0">IF(C3="","",VALUE(_xlfn.TEXTBEFORE(C3,"."))*60+VALUE(_xlfn.TEXTBEFORE(_xlfn.TEXTAFTER(C3,"."),"."))*7.5+VALUE(_xlfn.TEXTAFTER(C3,".",2))*0.375)</f>
        <v>26.25</v>
      </c>
      <c r="E3" s="1" t="s">
        <v>76</v>
      </c>
      <c r="F3" s="1"/>
    </row>
    <row r="4" spans="1:7" ht="15.75" customHeight="1" x14ac:dyDescent="0.25">
      <c r="A4" s="3">
        <v>1450</v>
      </c>
      <c r="B4" s="3">
        <v>9760</v>
      </c>
      <c r="C4" s="1" t="s">
        <v>8</v>
      </c>
      <c r="D4" s="6">
        <f t="shared" si="0"/>
        <v>13.875</v>
      </c>
      <c r="E4" s="1" t="s">
        <v>76</v>
      </c>
    </row>
    <row r="5" spans="1:7" ht="15.75" customHeight="1" x14ac:dyDescent="0.25">
      <c r="A5" s="3">
        <v>1450</v>
      </c>
      <c r="B5" s="3">
        <v>9758</v>
      </c>
      <c r="C5" s="1" t="s">
        <v>9</v>
      </c>
      <c r="D5" s="6">
        <f t="shared" si="0"/>
        <v>4.125</v>
      </c>
      <c r="E5" s="1" t="s">
        <v>76</v>
      </c>
    </row>
    <row r="6" spans="1:7" ht="15.75" customHeight="1" x14ac:dyDescent="0.25">
      <c r="A6" s="3">
        <v>1450</v>
      </c>
      <c r="B6" s="3">
        <v>9616</v>
      </c>
      <c r="C6" s="1" t="s">
        <v>13</v>
      </c>
      <c r="D6" s="6">
        <f t="shared" si="0"/>
        <v>84.375</v>
      </c>
      <c r="E6" s="1" t="s">
        <v>76</v>
      </c>
    </row>
    <row r="7" spans="1:7" ht="15.75" customHeight="1" x14ac:dyDescent="0.25">
      <c r="A7" s="3">
        <v>1450</v>
      </c>
      <c r="B7" s="3">
        <v>9757</v>
      </c>
      <c r="C7" s="1" t="s">
        <v>14</v>
      </c>
      <c r="D7" s="6">
        <f t="shared" si="0"/>
        <v>4.875</v>
      </c>
      <c r="E7" s="1" t="s">
        <v>76</v>
      </c>
    </row>
    <row r="8" spans="1:7" ht="15.75" customHeight="1" x14ac:dyDescent="0.25">
      <c r="A8" s="3">
        <v>1451</v>
      </c>
      <c r="B8" s="3">
        <v>9724</v>
      </c>
      <c r="C8" s="1" t="s">
        <v>12</v>
      </c>
      <c r="D8" s="6">
        <f t="shared" si="0"/>
        <v>75</v>
      </c>
      <c r="E8" s="1" t="s">
        <v>76</v>
      </c>
    </row>
    <row r="9" spans="1:7" ht="15.75" customHeight="1" x14ac:dyDescent="0.25">
      <c r="A9" s="3">
        <v>1451</v>
      </c>
      <c r="B9" s="3">
        <v>9629</v>
      </c>
      <c r="C9" s="1" t="s">
        <v>17</v>
      </c>
      <c r="D9" s="6">
        <f t="shared" si="0"/>
        <v>7.875</v>
      </c>
      <c r="E9" s="1" t="s">
        <v>76</v>
      </c>
    </row>
    <row r="10" spans="1:7" ht="15.75" customHeight="1" x14ac:dyDescent="0.25">
      <c r="A10" s="3">
        <v>1451</v>
      </c>
      <c r="B10" s="3">
        <v>9486</v>
      </c>
      <c r="C10" s="1" t="s">
        <v>5</v>
      </c>
      <c r="D10" s="6">
        <f t="shared" si="0"/>
        <v>26.25</v>
      </c>
      <c r="E10" s="1" t="s">
        <v>76</v>
      </c>
    </row>
    <row r="11" spans="1:7" ht="15.75" customHeight="1" x14ac:dyDescent="0.25">
      <c r="A11" s="3">
        <v>1451</v>
      </c>
      <c r="B11" s="3">
        <v>9487</v>
      </c>
      <c r="C11" s="1" t="s">
        <v>22</v>
      </c>
      <c r="D11" s="6">
        <f t="shared" si="0"/>
        <v>9</v>
      </c>
      <c r="E11" s="1" t="s">
        <v>76</v>
      </c>
    </row>
    <row r="12" spans="1:7" ht="15.75" customHeight="1" x14ac:dyDescent="0.25">
      <c r="A12" s="3">
        <v>1452</v>
      </c>
      <c r="B12" s="3">
        <v>9827</v>
      </c>
      <c r="C12" s="1" t="s">
        <v>25</v>
      </c>
      <c r="D12" s="6">
        <f t="shared" si="0"/>
        <v>43.5</v>
      </c>
      <c r="E12" s="1" t="s">
        <v>76</v>
      </c>
    </row>
    <row r="13" spans="1:7" ht="15.75" customHeight="1" x14ac:dyDescent="0.25">
      <c r="A13" s="3">
        <v>1452</v>
      </c>
      <c r="B13" s="3">
        <v>9835</v>
      </c>
      <c r="C13" s="1" t="s">
        <v>29</v>
      </c>
      <c r="D13" s="6">
        <f t="shared" si="0"/>
        <v>16.5</v>
      </c>
      <c r="E13" s="1" t="s">
        <v>76</v>
      </c>
    </row>
    <row r="14" spans="1:7" ht="15.75" customHeight="1" x14ac:dyDescent="0.25">
      <c r="A14" s="3">
        <v>1452</v>
      </c>
      <c r="B14" s="3">
        <v>9597</v>
      </c>
      <c r="C14" s="1" t="s">
        <v>31</v>
      </c>
      <c r="D14" s="6">
        <f t="shared" si="0"/>
        <v>44.25</v>
      </c>
      <c r="E14" s="1" t="s">
        <v>76</v>
      </c>
    </row>
    <row r="15" spans="1:7" ht="15.75" customHeight="1" x14ac:dyDescent="0.25">
      <c r="A15" s="3">
        <v>1452</v>
      </c>
      <c r="B15" s="3">
        <v>9598</v>
      </c>
      <c r="C15" s="1" t="s">
        <v>34</v>
      </c>
      <c r="D15" s="6">
        <f t="shared" si="0"/>
        <v>76.5</v>
      </c>
      <c r="E15" s="1" t="s">
        <v>76</v>
      </c>
    </row>
    <row r="16" spans="1:7" ht="15.75" customHeight="1" x14ac:dyDescent="0.25">
      <c r="A16" s="3">
        <v>1452</v>
      </c>
      <c r="B16" s="3">
        <v>9759</v>
      </c>
      <c r="C16" s="1" t="s">
        <v>36</v>
      </c>
      <c r="D16" s="6">
        <f t="shared" si="0"/>
        <v>10.875</v>
      </c>
      <c r="E16" s="1" t="s">
        <v>76</v>
      </c>
    </row>
    <row r="17" spans="1:5" ht="15.75" customHeight="1" x14ac:dyDescent="0.25">
      <c r="A17" s="3">
        <v>1452</v>
      </c>
      <c r="B17" s="3">
        <v>9782</v>
      </c>
      <c r="C17" s="1" t="s">
        <v>39</v>
      </c>
      <c r="D17" s="6">
        <f t="shared" si="0"/>
        <v>46.875</v>
      </c>
      <c r="E17" s="1" t="s">
        <v>76</v>
      </c>
    </row>
    <row r="18" spans="1:5" ht="15.75" customHeight="1" x14ac:dyDescent="0.25">
      <c r="A18" s="3">
        <v>1452</v>
      </c>
      <c r="B18" s="3">
        <v>9784</v>
      </c>
      <c r="C18" s="1" t="s">
        <v>43</v>
      </c>
      <c r="D18" s="6">
        <f t="shared" si="0"/>
        <v>20.25</v>
      </c>
      <c r="E18" s="1" t="s">
        <v>76</v>
      </c>
    </row>
    <row r="19" spans="1:5" ht="15.75" customHeight="1" x14ac:dyDescent="0.25">
      <c r="A19" s="3">
        <v>1452</v>
      </c>
      <c r="B19" s="3">
        <v>9785</v>
      </c>
      <c r="C19" s="1" t="s">
        <v>45</v>
      </c>
      <c r="D19" s="6">
        <f t="shared" si="0"/>
        <v>15</v>
      </c>
      <c r="E19" s="1" t="s">
        <v>76</v>
      </c>
    </row>
    <row r="20" spans="1:5" ht="15.75" customHeight="1" x14ac:dyDescent="0.25">
      <c r="A20" s="3">
        <v>1452</v>
      </c>
      <c r="B20" s="3">
        <v>9766</v>
      </c>
      <c r="C20" s="1" t="s">
        <v>42</v>
      </c>
      <c r="D20" s="6">
        <f t="shared" si="0"/>
        <v>16.875</v>
      </c>
      <c r="E20" s="1" t="s">
        <v>76</v>
      </c>
    </row>
    <row r="21" spans="1:5" ht="12.5" x14ac:dyDescent="0.25">
      <c r="A21" s="3">
        <v>1452</v>
      </c>
      <c r="B21" s="3" t="s">
        <v>110</v>
      </c>
      <c r="C21" s="1" t="s">
        <v>9</v>
      </c>
      <c r="D21" s="6">
        <f t="shared" si="0"/>
        <v>4.125</v>
      </c>
      <c r="E21" s="1" t="s">
        <v>76</v>
      </c>
    </row>
    <row r="22" spans="1:5" ht="12.5" x14ac:dyDescent="0.25">
      <c r="A22" s="3">
        <v>1452</v>
      </c>
      <c r="B22" s="3">
        <v>9795</v>
      </c>
      <c r="C22" s="1" t="s">
        <v>45</v>
      </c>
      <c r="D22" s="6">
        <f t="shared" si="0"/>
        <v>15</v>
      </c>
      <c r="E22" s="1" t="s">
        <v>76</v>
      </c>
    </row>
    <row r="23" spans="1:5" ht="12.5" x14ac:dyDescent="0.25">
      <c r="A23" s="3">
        <v>2007</v>
      </c>
      <c r="B23" s="3">
        <v>9746</v>
      </c>
      <c r="C23" s="1" t="s">
        <v>52</v>
      </c>
      <c r="D23" s="6">
        <f t="shared" si="0"/>
        <v>41.25</v>
      </c>
      <c r="E23" s="1" t="s">
        <v>76</v>
      </c>
    </row>
    <row r="24" spans="1:5" ht="12.5" x14ac:dyDescent="0.25">
      <c r="A24" s="3">
        <v>1173</v>
      </c>
      <c r="B24" s="3">
        <v>9578</v>
      </c>
      <c r="C24" s="1" t="s">
        <v>53</v>
      </c>
      <c r="D24" s="6">
        <f t="shared" si="0"/>
        <v>48.375</v>
      </c>
      <c r="E24" s="1" t="s">
        <v>76</v>
      </c>
    </row>
    <row r="25" spans="1:5" ht="12.5" x14ac:dyDescent="0.25">
      <c r="A25" s="3">
        <v>0</v>
      </c>
      <c r="B25" s="3" t="s">
        <v>111</v>
      </c>
      <c r="C25" s="1" t="s">
        <v>56</v>
      </c>
      <c r="D25" s="6">
        <f t="shared" si="0"/>
        <v>41.625</v>
      </c>
      <c r="E25" s="1" t="s">
        <v>76</v>
      </c>
    </row>
  </sheetData>
  <dataValidations count="1">
    <dataValidation type="list" allowBlank="1" showInputMessage="1" showErrorMessage="1" sqref="E2:E25" xr:uid="{EA7FC2C2-4D01-4050-9248-B89F1D6624BD}">
      <formula1>"Dispute,Correct"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21"/>
  <sheetViews>
    <sheetView topLeftCell="A10" workbookViewId="0">
      <selection activeCell="F13" sqref="F13"/>
    </sheetView>
  </sheetViews>
  <sheetFormatPr defaultColWidth="12.6328125" defaultRowHeight="15.75" customHeight="1" x14ac:dyDescent="0.25"/>
  <cols>
    <col min="1" max="2" width="12.6328125" style="3"/>
    <col min="6" max="6" width="19.81640625" bestFit="1" customWidth="1"/>
  </cols>
  <sheetData>
    <row r="1" spans="1:7" ht="15.75" customHeight="1" x14ac:dyDescent="0.25">
      <c r="A1" s="4" t="s">
        <v>70</v>
      </c>
      <c r="B1" s="4" t="s">
        <v>71</v>
      </c>
      <c r="C1" s="2" t="s">
        <v>72</v>
      </c>
      <c r="D1" s="4" t="s">
        <v>73</v>
      </c>
      <c r="E1" s="2" t="s">
        <v>77</v>
      </c>
      <c r="F1" s="4" t="s">
        <v>74</v>
      </c>
      <c r="G1" s="2" t="s">
        <v>78</v>
      </c>
    </row>
    <row r="2" spans="1:7" ht="15.75" customHeight="1" x14ac:dyDescent="0.25">
      <c r="A2" s="3">
        <v>1046</v>
      </c>
      <c r="B2" s="3">
        <v>9861</v>
      </c>
      <c r="C2" s="1" t="s">
        <v>60</v>
      </c>
      <c r="D2" s="1">
        <f>IF(C2="","",VALUE(_xlfn.TEXTBEFORE(C2,"."))*60+VALUE(_xlfn.TEXTBEFORE(_xlfn.TEXTAFTER(C2,"."),"."))*7.5+VALUE(_xlfn.TEXTAFTER(C2,".",2))*0.375)</f>
        <v>88.5</v>
      </c>
      <c r="E2" s="1" t="s">
        <v>76</v>
      </c>
      <c r="F2" s="1"/>
    </row>
    <row r="3" spans="1:7" ht="15.75" customHeight="1" x14ac:dyDescent="0.25">
      <c r="A3" s="3">
        <v>1047</v>
      </c>
      <c r="B3" s="3">
        <v>9853</v>
      </c>
      <c r="C3" s="1" t="s">
        <v>29</v>
      </c>
      <c r="D3" s="1">
        <f t="shared" ref="D3:D21" si="0">IF(C3="","",VALUE(_xlfn.TEXTBEFORE(C3,"."))*60+VALUE(_xlfn.TEXTBEFORE(_xlfn.TEXTAFTER(C3,"."),"."))*7.5+VALUE(_xlfn.TEXTAFTER(C3,".",2))*0.375)</f>
        <v>16.5</v>
      </c>
      <c r="E3" s="1" t="s">
        <v>76</v>
      </c>
      <c r="F3" s="1"/>
    </row>
    <row r="4" spans="1:7" ht="15.75" customHeight="1" x14ac:dyDescent="0.25">
      <c r="A4" s="3">
        <v>1047</v>
      </c>
      <c r="B4" s="3">
        <v>9840</v>
      </c>
      <c r="C4" s="1" t="s">
        <v>61</v>
      </c>
      <c r="D4" s="1">
        <f t="shared" si="0"/>
        <v>22.875</v>
      </c>
      <c r="E4" s="1" t="s">
        <v>76</v>
      </c>
    </row>
    <row r="5" spans="1:7" ht="15.75" customHeight="1" x14ac:dyDescent="0.25">
      <c r="A5" s="3">
        <v>1047</v>
      </c>
      <c r="B5" s="3">
        <v>9855</v>
      </c>
      <c r="C5" s="1" t="s">
        <v>62</v>
      </c>
      <c r="D5" s="1">
        <f>IF(C2="","",VALUE(_xlfn.TEXTBEFORE(C2,"."))*60+VALUE(_xlfn.TEXTBEFORE(_xlfn.TEXTAFTER(C2,"."),"."))*7.5+VALUE(_xlfn.TEXTAFTER(C2,".",2))*0.375)</f>
        <v>88.5</v>
      </c>
      <c r="E5" s="1" t="s">
        <v>76</v>
      </c>
    </row>
    <row r="6" spans="1:7" ht="15.75" customHeight="1" x14ac:dyDescent="0.25">
      <c r="A6" s="3">
        <v>1450</v>
      </c>
      <c r="B6" s="3">
        <v>9838</v>
      </c>
      <c r="C6" s="1" t="s">
        <v>0</v>
      </c>
      <c r="D6" s="1">
        <f t="shared" ref="D6:D21" si="1">IF(C3="","",VALUE(_xlfn.TEXTBEFORE(C3,"."))*60+VALUE(_xlfn.TEXTBEFORE(_xlfn.TEXTAFTER(C3,"."),"."))*7.5+VALUE(_xlfn.TEXTAFTER(C3,".",2))*0.375)</f>
        <v>16.5</v>
      </c>
      <c r="E6" s="1" t="s">
        <v>76</v>
      </c>
      <c r="F6" t="s">
        <v>106</v>
      </c>
    </row>
    <row r="7" spans="1:7" ht="15.75" customHeight="1" x14ac:dyDescent="0.25">
      <c r="A7" s="3">
        <v>1450</v>
      </c>
      <c r="B7" s="3">
        <v>7027</v>
      </c>
      <c r="C7" s="1" t="s">
        <v>63</v>
      </c>
      <c r="D7" s="1">
        <f t="shared" si="1"/>
        <v>22.875</v>
      </c>
      <c r="E7" s="1" t="s">
        <v>76</v>
      </c>
    </row>
    <row r="8" spans="1:7" ht="15.75" customHeight="1" x14ac:dyDescent="0.25">
      <c r="A8" s="3">
        <v>1450</v>
      </c>
      <c r="B8" s="3">
        <v>9760</v>
      </c>
      <c r="C8" s="1" t="s">
        <v>0</v>
      </c>
      <c r="D8" s="1">
        <f t="shared" si="1"/>
        <v>55.5</v>
      </c>
      <c r="E8" s="1" t="s">
        <v>76</v>
      </c>
    </row>
    <row r="9" spans="1:7" ht="15.75" customHeight="1" x14ac:dyDescent="0.25">
      <c r="A9" s="3">
        <v>1451</v>
      </c>
      <c r="B9" s="3">
        <v>9629</v>
      </c>
      <c r="C9" s="1" t="s">
        <v>18</v>
      </c>
      <c r="D9" s="1">
        <f t="shared" si="1"/>
        <v>25.125</v>
      </c>
      <c r="E9" s="1" t="s">
        <v>76</v>
      </c>
    </row>
    <row r="10" spans="1:7" ht="15.75" customHeight="1" x14ac:dyDescent="0.25">
      <c r="A10" s="3">
        <v>1451</v>
      </c>
      <c r="B10" s="3">
        <v>9486</v>
      </c>
      <c r="C10" s="1" t="s">
        <v>64</v>
      </c>
      <c r="D10" s="1">
        <f t="shared" si="1"/>
        <v>26.625</v>
      </c>
      <c r="E10" s="1" t="s">
        <v>76</v>
      </c>
    </row>
    <row r="11" spans="1:7" ht="15.75" customHeight="1" x14ac:dyDescent="0.25">
      <c r="A11" s="3">
        <v>1452</v>
      </c>
      <c r="B11" s="3">
        <v>9837</v>
      </c>
      <c r="C11" s="1" t="s">
        <v>65</v>
      </c>
      <c r="D11" s="1">
        <f t="shared" si="1"/>
        <v>25.125</v>
      </c>
      <c r="E11" s="1" t="s">
        <v>76</v>
      </c>
    </row>
    <row r="12" spans="1:7" ht="15.75" customHeight="1" x14ac:dyDescent="0.25">
      <c r="A12" s="3">
        <v>1452</v>
      </c>
      <c r="B12" s="3">
        <v>9835</v>
      </c>
      <c r="C12" s="1" t="s">
        <v>30</v>
      </c>
      <c r="D12" s="1">
        <f t="shared" si="1"/>
        <v>7.125</v>
      </c>
      <c r="E12" s="1" t="s">
        <v>76</v>
      </c>
    </row>
    <row r="13" spans="1:7" ht="15.75" customHeight="1" x14ac:dyDescent="0.25">
      <c r="A13" s="3">
        <v>1452</v>
      </c>
      <c r="B13" s="3">
        <v>9807</v>
      </c>
      <c r="C13" s="1" t="s">
        <v>66</v>
      </c>
      <c r="D13" s="1">
        <f t="shared" si="1"/>
        <v>37.875</v>
      </c>
      <c r="E13" s="1" t="s">
        <v>76</v>
      </c>
    </row>
    <row r="14" spans="1:7" ht="15.75" customHeight="1" x14ac:dyDescent="0.25">
      <c r="A14" s="3">
        <v>1452</v>
      </c>
      <c r="B14" s="3">
        <v>9593</v>
      </c>
      <c r="C14" s="1" t="s">
        <v>67</v>
      </c>
      <c r="D14" s="1">
        <f t="shared" si="1"/>
        <v>22.5</v>
      </c>
      <c r="E14" s="1" t="s">
        <v>76</v>
      </c>
    </row>
    <row r="15" spans="1:7" ht="15.75" customHeight="1" x14ac:dyDescent="0.25">
      <c r="A15" s="3">
        <v>1452</v>
      </c>
      <c r="B15" s="3">
        <v>9592</v>
      </c>
      <c r="C15" s="1" t="s">
        <v>30</v>
      </c>
      <c r="D15" s="1">
        <f t="shared" si="1"/>
        <v>18</v>
      </c>
      <c r="E15" s="1" t="s">
        <v>76</v>
      </c>
    </row>
    <row r="16" spans="1:7" ht="15.75" customHeight="1" x14ac:dyDescent="0.25">
      <c r="A16" s="3">
        <v>1452</v>
      </c>
      <c r="B16" s="3">
        <v>9782</v>
      </c>
      <c r="C16" s="1" t="s">
        <v>23</v>
      </c>
      <c r="D16" s="1">
        <f t="shared" si="1"/>
        <v>15.75</v>
      </c>
      <c r="E16" s="1" t="s">
        <v>76</v>
      </c>
    </row>
    <row r="17" spans="1:5" ht="15.75" customHeight="1" x14ac:dyDescent="0.25">
      <c r="A17" s="3">
        <v>1452</v>
      </c>
      <c r="B17" s="3">
        <v>9766</v>
      </c>
      <c r="C17" s="1" t="s">
        <v>42</v>
      </c>
      <c r="D17" s="1">
        <f t="shared" si="1"/>
        <v>92.25</v>
      </c>
      <c r="E17" s="1" t="s">
        <v>76</v>
      </c>
    </row>
    <row r="18" spans="1:5" ht="15.75" customHeight="1" x14ac:dyDescent="0.25">
      <c r="A18" s="3">
        <v>1452</v>
      </c>
      <c r="B18" s="3">
        <v>9618</v>
      </c>
      <c r="C18" s="1" t="s">
        <v>68</v>
      </c>
      <c r="D18" s="1">
        <f t="shared" si="1"/>
        <v>18</v>
      </c>
      <c r="E18" s="1" t="s">
        <v>76</v>
      </c>
    </row>
    <row r="19" spans="1:5" ht="15.75" customHeight="1" x14ac:dyDescent="0.25">
      <c r="A19" s="3">
        <v>1452</v>
      </c>
      <c r="B19" s="3">
        <v>9828</v>
      </c>
      <c r="C19" s="1" t="s">
        <v>54</v>
      </c>
      <c r="D19" s="1">
        <f t="shared" si="1"/>
        <v>46.5</v>
      </c>
      <c r="E19" s="1" t="s">
        <v>76</v>
      </c>
    </row>
    <row r="20" spans="1:5" ht="15.75" customHeight="1" x14ac:dyDescent="0.25">
      <c r="A20" s="3">
        <v>1173</v>
      </c>
      <c r="B20" s="3">
        <v>9856</v>
      </c>
      <c r="C20" s="1" t="s">
        <v>69</v>
      </c>
      <c r="D20" s="1">
        <f t="shared" si="1"/>
        <v>16.875</v>
      </c>
      <c r="E20" s="1" t="s">
        <v>76</v>
      </c>
    </row>
    <row r="21" spans="1:5" ht="12.5" x14ac:dyDescent="0.25">
      <c r="A21" s="3">
        <v>2007</v>
      </c>
      <c r="B21" s="3">
        <v>9746</v>
      </c>
      <c r="C21" s="1" t="s">
        <v>12</v>
      </c>
      <c r="D21" s="1">
        <f t="shared" si="1"/>
        <v>71.25</v>
      </c>
      <c r="E21" s="1" t="s">
        <v>76</v>
      </c>
    </row>
  </sheetData>
  <dataValidations count="1">
    <dataValidation type="list" allowBlank="1" showInputMessage="1" showErrorMessage="1" sqref="E2:E21" xr:uid="{C2CD90A7-588F-48D9-A4F4-B79DDB6DC97F}">
      <formula1>"Dispute,Correct"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md_Aslam_Khan</vt:lpstr>
      <vt:lpstr>Md_Ali_details</vt:lpstr>
      <vt:lpstr>M.k.khan Details</vt:lpstr>
      <vt:lpstr>Md._Islam_Khan</vt:lpstr>
      <vt:lpstr>Junaid_Khan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2026-09-18T17:47:47Z</dcterms:modified>
</cp:coreProperties>
</file>
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inventiv\Desktop\jamin\"/>
    </mc:Choice>
  </mc:AlternateContent>
  <xr:revisionPtr revIDLastSave="0" documentId="13_ncr:1_{7CB381DE-5E4C-489B-9528-6984B077866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ngineer Dada details" sheetId="1" r:id="rId1"/>
    <sheet name="Md. Dada details" sheetId="2" r:id="rId2"/>
    <sheet name="M.k.khan Details" sheetId="3" r:id="rId3"/>
    <sheet name="bade dada details" sheetId="4" r:id="rId4"/>
    <sheet name="master dada details" sheetId="5" r:id="rId5"/>
    <sheet name="Copy of master dada details 1" sheetId="6" r:id="rId6"/>
    <sheet name="Copy of master dada det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C1" i="6" s="1"/>
  <c r="D1" i="6" s="1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C1" i="5" s="1"/>
  <c r="D1" i="5" s="1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C1" i="4" s="1"/>
  <c r="D1" i="4" s="1"/>
  <c r="B7" i="4"/>
  <c r="B6" i="4"/>
  <c r="B5" i="4"/>
  <c r="B4" i="4"/>
  <c r="B3" i="4"/>
  <c r="B2" i="4"/>
  <c r="B1" i="4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C1" i="2" s="1"/>
  <c r="D1" i="2" s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" i="1" s="1"/>
  <c r="D1" i="1" s="1"/>
  <c r="B1" i="1"/>
</calcChain>
</file>

<file path=xl/sharedStrings.xml><?xml version="1.0" encoding="utf-8"?>
<sst xmlns="http://schemas.openxmlformats.org/spreadsheetml/2006/main" count="181" uniqueCount="113">
  <si>
    <t>0.3.7</t>
  </si>
  <si>
    <t>0.12.15</t>
  </si>
  <si>
    <t>0.3.2</t>
  </si>
  <si>
    <t>0.4.19</t>
  </si>
  <si>
    <t>0.3.8</t>
  </si>
  <si>
    <t>0.3.10</t>
  </si>
  <si>
    <t>Total Dhur</t>
  </si>
  <si>
    <t>total dhur</t>
  </si>
  <si>
    <t>Total Jamin</t>
  </si>
  <si>
    <t>total jamin</t>
  </si>
  <si>
    <t>1.2.7</t>
  </si>
  <si>
    <t>0.4.6</t>
  </si>
  <si>
    <t>0.1.17</t>
  </si>
  <si>
    <t>0.0.11</t>
  </si>
  <si>
    <t>0.8.11</t>
  </si>
  <si>
    <t>0.5.19</t>
  </si>
  <si>
    <t>0.10.0</t>
  </si>
  <si>
    <t>0.11.5</t>
  </si>
  <si>
    <t>0.0.13</t>
  </si>
  <si>
    <t>0.8.6</t>
  </si>
  <si>
    <t>0.11.13</t>
  </si>
  <si>
    <t>0.1.2</t>
  </si>
  <si>
    <t>0.1.1</t>
  </si>
  <si>
    <t>0.0.19</t>
  </si>
  <si>
    <t>0.7.10</t>
  </si>
  <si>
    <t>0.5.0</t>
  </si>
  <si>
    <t>0.3.5</t>
  </si>
  <si>
    <t>0.1.4</t>
  </si>
  <si>
    <t>0.6.4</t>
  </si>
  <si>
    <t>0.3.9</t>
  </si>
  <si>
    <t>0.5.16</t>
  </si>
  <si>
    <t>0.3.6</t>
  </si>
  <si>
    <t>0.1.12</t>
  </si>
  <si>
    <t>0.4.0</t>
  </si>
  <si>
    <t>0.2.4</t>
  </si>
  <si>
    <t>0.2.8</t>
  </si>
  <si>
    <t>0.5.18</t>
  </si>
  <si>
    <t>0.2.12</t>
  </si>
  <si>
    <t>0.3.3</t>
  </si>
  <si>
    <t>0.10.4</t>
  </si>
  <si>
    <t>0.2.1</t>
  </si>
  <si>
    <t>0.1.9</t>
  </si>
  <si>
    <t>0.1.7</t>
  </si>
  <si>
    <t>0.3.19</t>
  </si>
  <si>
    <t>0.6.5</t>
  </si>
  <si>
    <t>0.3.18</t>
  </si>
  <si>
    <t>0.2.7</t>
  </si>
  <si>
    <t>0.2.5</t>
  </si>
  <si>
    <t>0.2.14</t>
  </si>
  <si>
    <t>0.9.11</t>
  </si>
  <si>
    <t>0.2.0</t>
  </si>
  <si>
    <t>0.1.16</t>
  </si>
  <si>
    <t>0.7.18</t>
  </si>
  <si>
    <t>0.2.16</t>
  </si>
  <si>
    <t>0.3.12</t>
  </si>
  <si>
    <t>0.10.12</t>
  </si>
  <si>
    <t>0.0.15</t>
  </si>
  <si>
    <t>0.5.10</t>
  </si>
  <si>
    <t>0.6.9</t>
  </si>
  <si>
    <t>0.3.4</t>
  </si>
  <si>
    <t>0.6.10</t>
  </si>
  <si>
    <t>0.5.11</t>
  </si>
  <si>
    <t>0.11.0</t>
  </si>
  <si>
    <t>0.5.17</t>
  </si>
  <si>
    <t>0.0.16</t>
  </si>
  <si>
    <t>0.4.13</t>
  </si>
  <si>
    <t>0.11.16</t>
  </si>
  <si>
    <t>0.3.1</t>
  </si>
  <si>
    <t>0.7.8</t>
  </si>
  <si>
    <t>0.3.11</t>
  </si>
  <si>
    <t>0.5.1</t>
  </si>
  <si>
    <t>0.3.0</t>
  </si>
  <si>
    <t>0.2.2</t>
  </si>
  <si>
    <t>0.12.6</t>
  </si>
  <si>
    <t>0.9.10</t>
  </si>
  <si>
    <t>0.10.9</t>
  </si>
  <si>
    <t>खाता</t>
  </si>
  <si>
    <t>खेसरा</t>
  </si>
  <si>
    <t>रकवा</t>
  </si>
  <si>
    <t>ए0 डी0</t>
  </si>
  <si>
    <t>Message</t>
  </si>
  <si>
    <t>9597/12405</t>
  </si>
  <si>
    <t>wrong correct rakba is 0.5.5</t>
  </si>
  <si>
    <t xml:space="preserve">correct will be 0.1.0 </t>
  </si>
  <si>
    <t>Correct</t>
  </si>
  <si>
    <t>Status</t>
  </si>
  <si>
    <t>Dispute</t>
  </si>
  <si>
    <t>Need correct divide</t>
  </si>
  <si>
    <t xml:space="preserve">Remove from list not </t>
  </si>
  <si>
    <t>localName</t>
  </si>
  <si>
    <t>धोबी वाला</t>
  </si>
  <si>
    <t>सेमर वाला उत्तर</t>
  </si>
  <si>
    <t>दादी जीएन</t>
  </si>
  <si>
    <t>9568/12404</t>
  </si>
  <si>
    <t>भसुव्वा आम</t>
  </si>
  <si>
    <t>क्रिकेट बगीचा</t>
  </si>
  <si>
    <t>नगेशेर वाला</t>
  </si>
  <si>
    <t>चाभ बस</t>
  </si>
  <si>
    <t>घर बगीचा</t>
  </si>
  <si>
    <t>घर बॉस</t>
  </si>
  <si>
    <t>घर लीची</t>
  </si>
  <si>
    <t>खरबन्ना</t>
  </si>
  <si>
    <t>स्कूल क पूछे पश्चिम साइड</t>
  </si>
  <si>
    <t>गोड़ वाला</t>
  </si>
  <si>
    <t>पश्चिम सेमर</t>
  </si>
  <si>
    <t>सुबाष नदी के किनारे</t>
  </si>
  <si>
    <t>नदी के पार</t>
  </si>
  <si>
    <t>नदी पानी में</t>
  </si>
  <si>
    <t>पिज्जावा वाला</t>
  </si>
  <si>
    <t>ज़ीनत दादी</t>
  </si>
  <si>
    <t>रामा नदी के पार</t>
  </si>
  <si>
    <t>घर</t>
  </si>
  <si>
    <t>9817 ,9810 ,9811 , 9810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</si>
</sst>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workbookViewId="0"/>
  </sheetViews>
  <sheetFormatPr defaultColWidth="12.6328125" defaultRowHeight="15.75" customHeight="1" x14ac:dyDescent="0.25"/>
  <cols>
    <col min="3" max="3" width="17.7265625" customWidth="1"/>
  </cols>
  <sheetData>
    <row r="1" spans="1:4" ht="15.75" customHeight="1" x14ac:dyDescent="0.25">
      <c r="A1" s="1" t="s">
        <v>2</v>
      </c>
      <c r="B1" s="1">
        <f t="shared" ref="B1:B26" si="0">LEFT(A1,FIND(".",A1)-1)*400 + MID(A1,FIND(".",A1)+1,FIND(".",A1,FIND(".",A1)+1)-FIND(".",A1)-1)*20 + RIGHT(A1,LEN(A1)-FIND(".",A1,FIND(".",A1)+1))</f>
        <v>62</v>
      </c>
      <c r="C1" s="1">
        <f>SUM(B:B)</f>
        <v>2134</v>
      </c>
      <c r="D1" s="1" t="str">
        <f>INT(C1/400) &amp; "." &amp; INT(MOD(C1,400)/20) &amp; "." &amp; MOD(MOD(C1,400),20)</f>
        <v>5.6.14</v>
      </c>
    </row>
    <row r="2" spans="1:4" ht="15.75" customHeight="1" x14ac:dyDescent="0.25">
      <c r="A2" s="1" t="s">
        <v>4</v>
      </c>
      <c r="B2" s="1">
        <f t="shared" si="0"/>
        <v>68</v>
      </c>
      <c r="C2" s="1" t="s">
        <v>6</v>
      </c>
      <c r="D2" s="1" t="s">
        <v>8</v>
      </c>
    </row>
    <row r="3" spans="1:4" ht="15.75" customHeight="1" x14ac:dyDescent="0.25">
      <c r="A3" s="1" t="s">
        <v>11</v>
      </c>
      <c r="B3" s="1">
        <f t="shared" si="0"/>
        <v>86</v>
      </c>
    </row>
    <row r="4" spans="1:4" ht="15.75" customHeight="1" x14ac:dyDescent="0.25">
      <c r="A4" s="1" t="s">
        <v>3</v>
      </c>
      <c r="B4" s="1">
        <f t="shared" si="0"/>
        <v>99</v>
      </c>
    </row>
    <row r="5" spans="1:4" ht="15.75" customHeight="1" x14ac:dyDescent="0.25">
      <c r="A5" s="1" t="s">
        <v>16</v>
      </c>
      <c r="B5" s="1">
        <f t="shared" si="0"/>
        <v>200</v>
      </c>
    </row>
    <row r="6" spans="1:4" ht="15.75" customHeight="1" x14ac:dyDescent="0.25">
      <c r="A6" s="1" t="s">
        <v>3</v>
      </c>
      <c r="B6" s="1">
        <f t="shared" si="0"/>
        <v>99</v>
      </c>
    </row>
    <row r="7" spans="1:4" ht="15.75" customHeight="1" x14ac:dyDescent="0.25">
      <c r="A7" s="1" t="s">
        <v>19</v>
      </c>
      <c r="B7" s="1">
        <f t="shared" si="0"/>
        <v>166</v>
      </c>
    </row>
    <row r="8" spans="1:4" ht="15.75" customHeight="1" x14ac:dyDescent="0.25">
      <c r="A8" s="1" t="s">
        <v>21</v>
      </c>
      <c r="B8" s="1">
        <f t="shared" si="0"/>
        <v>22</v>
      </c>
    </row>
    <row r="9" spans="1:4" ht="15.75" customHeight="1" x14ac:dyDescent="0.25">
      <c r="A9" s="1" t="s">
        <v>22</v>
      </c>
      <c r="B9" s="1">
        <f t="shared" si="0"/>
        <v>21</v>
      </c>
    </row>
    <row r="10" spans="1:4" ht="15.75" customHeight="1" x14ac:dyDescent="0.25">
      <c r="A10" s="1" t="s">
        <v>26</v>
      </c>
      <c r="B10" s="1">
        <f t="shared" si="0"/>
        <v>65</v>
      </c>
    </row>
    <row r="11" spans="1:4" ht="15.75" customHeight="1" x14ac:dyDescent="0.25">
      <c r="A11" s="1" t="s">
        <v>29</v>
      </c>
      <c r="B11" s="1">
        <f t="shared" si="0"/>
        <v>69</v>
      </c>
    </row>
    <row r="12" spans="1:4" ht="15.75" customHeight="1" x14ac:dyDescent="0.25">
      <c r="A12" s="1" t="s">
        <v>33</v>
      </c>
      <c r="B12" s="1">
        <f t="shared" si="0"/>
        <v>80</v>
      </c>
    </row>
    <row r="13" spans="1:4" ht="15.75" customHeight="1" x14ac:dyDescent="0.25">
      <c r="A13" s="1" t="s">
        <v>35</v>
      </c>
      <c r="B13" s="1">
        <f t="shared" si="0"/>
        <v>48</v>
      </c>
    </row>
    <row r="14" spans="1:4" ht="15.75" customHeight="1" x14ac:dyDescent="0.25">
      <c r="A14" s="1" t="s">
        <v>38</v>
      </c>
      <c r="B14" s="1">
        <f t="shared" si="0"/>
        <v>63</v>
      </c>
    </row>
    <row r="15" spans="1:4" ht="15.75" customHeight="1" x14ac:dyDescent="0.25">
      <c r="A15" s="1" t="s">
        <v>40</v>
      </c>
      <c r="B15" s="1">
        <f t="shared" si="0"/>
        <v>41</v>
      </c>
    </row>
    <row r="16" spans="1:4" ht="15.75" customHeight="1" x14ac:dyDescent="0.25">
      <c r="A16" s="1" t="s">
        <v>43</v>
      </c>
      <c r="B16" s="1">
        <f t="shared" si="0"/>
        <v>79</v>
      </c>
    </row>
    <row r="17" spans="1:2" ht="15.75" customHeight="1" x14ac:dyDescent="0.25">
      <c r="A17" s="1" t="s">
        <v>47</v>
      </c>
      <c r="B17" s="1">
        <f t="shared" si="0"/>
        <v>45</v>
      </c>
    </row>
    <row r="18" spans="1:2" ht="15.75" customHeight="1" x14ac:dyDescent="0.25">
      <c r="A18" s="1" t="s">
        <v>49</v>
      </c>
      <c r="B18" s="1">
        <f t="shared" si="0"/>
        <v>191</v>
      </c>
    </row>
    <row r="19" spans="1:2" ht="15.75" customHeight="1" x14ac:dyDescent="0.25">
      <c r="A19" s="1" t="s">
        <v>51</v>
      </c>
      <c r="B19" s="1">
        <f t="shared" si="0"/>
        <v>36</v>
      </c>
    </row>
    <row r="20" spans="1:2" ht="12.5" x14ac:dyDescent="0.25">
      <c r="A20" s="1" t="s">
        <v>53</v>
      </c>
      <c r="B20" s="1">
        <f t="shared" si="0"/>
        <v>56</v>
      </c>
    </row>
    <row r="21" spans="1:2" ht="12.5" x14ac:dyDescent="0.25">
      <c r="A21" s="1" t="s">
        <v>55</v>
      </c>
      <c r="B21" s="1">
        <f t="shared" si="0"/>
        <v>212</v>
      </c>
    </row>
    <row r="22" spans="1:2" ht="12.5" x14ac:dyDescent="0.25">
      <c r="A22" s="1" t="s">
        <v>56</v>
      </c>
      <c r="B22" s="1">
        <f t="shared" si="0"/>
        <v>15</v>
      </c>
    </row>
    <row r="23" spans="1:2" ht="12.5" x14ac:dyDescent="0.25">
      <c r="A23" s="1" t="s">
        <v>35</v>
      </c>
      <c r="B23" s="1">
        <f t="shared" si="0"/>
        <v>48</v>
      </c>
    </row>
    <row r="24" spans="1:2" ht="12.5" x14ac:dyDescent="0.25">
      <c r="A24" s="1" t="s">
        <v>60</v>
      </c>
      <c r="B24" s="1">
        <f t="shared" si="0"/>
        <v>130</v>
      </c>
    </row>
    <row r="25" spans="1:2" ht="12.5" x14ac:dyDescent="0.25">
      <c r="A25" s="1" t="s">
        <v>63</v>
      </c>
      <c r="B25" s="1">
        <f t="shared" si="0"/>
        <v>117</v>
      </c>
    </row>
    <row r="26" spans="1:2" ht="12.5" x14ac:dyDescent="0.25">
      <c r="A26" s="1" t="s">
        <v>64</v>
      </c>
      <c r="B26" s="1">
        <f t="shared" si="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>
        <f t="shared" ref="B1:B20" si="0">LEFT(A1,FIND(".",A1)-1)*400 + MID(A1,FIND(".",A1)+1,FIND(".",A1,FIND(".",A1)+1)-FIND(".",A1)-1)*20 + RIGHT(A1,LEN(A1)-FIND(".",A1,FIND(".",A1)+1))</f>
        <v>67</v>
      </c>
      <c r="C1" s="1">
        <f>SUM(B:B)</f>
        <v>2096</v>
      </c>
      <c r="D1" s="1" t="str">
        <f>INT(C1/400) &amp; "." &amp; INT(MOD(C1,400)/20) &amp; "." &amp; MOD(MOD(C1,400),20)</f>
        <v>5.4.16</v>
      </c>
    </row>
    <row r="2" spans="1:4" ht="15.75" customHeight="1" x14ac:dyDescent="0.25">
      <c r="A2" s="1" t="s">
        <v>10</v>
      </c>
      <c r="B2" s="1">
        <f t="shared" si="0"/>
        <v>447</v>
      </c>
      <c r="C2" s="1" t="s">
        <v>7</v>
      </c>
      <c r="D2" s="1" t="s">
        <v>9</v>
      </c>
    </row>
    <row r="3" spans="1:4" ht="15.75" customHeight="1" x14ac:dyDescent="0.25">
      <c r="A3" s="1" t="s">
        <v>15</v>
      </c>
      <c r="B3" s="1">
        <f t="shared" si="0"/>
        <v>119</v>
      </c>
    </row>
    <row r="4" spans="1:4" ht="15.75" customHeight="1" x14ac:dyDescent="0.25">
      <c r="A4" s="1" t="s">
        <v>5</v>
      </c>
      <c r="B4" s="1">
        <f t="shared" si="0"/>
        <v>70</v>
      </c>
    </row>
    <row r="5" spans="1:4" ht="15.75" customHeight="1" x14ac:dyDescent="0.25">
      <c r="A5" s="1" t="s">
        <v>0</v>
      </c>
      <c r="B5" s="1">
        <f t="shared" si="0"/>
        <v>67</v>
      </c>
    </row>
    <row r="6" spans="1:4" ht="15.75" customHeight="1" x14ac:dyDescent="0.25">
      <c r="A6" s="1" t="s">
        <v>23</v>
      </c>
      <c r="B6" s="1">
        <f t="shared" si="0"/>
        <v>19</v>
      </c>
    </row>
    <row r="7" spans="1:4" ht="15.75" customHeight="1" x14ac:dyDescent="0.25">
      <c r="A7" s="1" t="s">
        <v>25</v>
      </c>
      <c r="B7" s="1">
        <f t="shared" si="0"/>
        <v>100</v>
      </c>
    </row>
    <row r="8" spans="1:4" ht="15.75" customHeight="1" x14ac:dyDescent="0.25">
      <c r="A8" s="1" t="s">
        <v>31</v>
      </c>
      <c r="B8" s="1">
        <f t="shared" si="0"/>
        <v>66</v>
      </c>
    </row>
    <row r="9" spans="1:4" ht="15.75" customHeight="1" x14ac:dyDescent="0.25">
      <c r="A9" s="1" t="s">
        <v>4</v>
      </c>
      <c r="B9" s="1">
        <f t="shared" si="0"/>
        <v>68</v>
      </c>
    </row>
    <row r="10" spans="1:4" ht="15.75" customHeight="1" x14ac:dyDescent="0.25">
      <c r="A10" s="1" t="s">
        <v>37</v>
      </c>
      <c r="B10" s="1">
        <f t="shared" si="0"/>
        <v>52</v>
      </c>
    </row>
    <row r="11" spans="1:4" ht="15.75" customHeight="1" x14ac:dyDescent="0.25">
      <c r="A11" s="1" t="s">
        <v>42</v>
      </c>
      <c r="B11" s="1">
        <f t="shared" si="0"/>
        <v>27</v>
      </c>
    </row>
    <row r="12" spans="1:4" ht="15.75" customHeight="1" x14ac:dyDescent="0.25">
      <c r="A12" s="1" t="s">
        <v>46</v>
      </c>
      <c r="B12" s="1">
        <f t="shared" si="0"/>
        <v>47</v>
      </c>
    </row>
    <row r="13" spans="1:4" ht="15.75" customHeight="1" x14ac:dyDescent="0.25">
      <c r="A13" s="1" t="s">
        <v>32</v>
      </c>
      <c r="B13" s="1">
        <f t="shared" si="0"/>
        <v>32</v>
      </c>
    </row>
    <row r="14" spans="1:4" ht="15.75" customHeight="1" x14ac:dyDescent="0.25">
      <c r="A14" s="1" t="s">
        <v>41</v>
      </c>
      <c r="B14" s="1">
        <f t="shared" si="0"/>
        <v>29</v>
      </c>
    </row>
    <row r="15" spans="1:4" ht="15.75" customHeight="1" x14ac:dyDescent="0.25">
      <c r="A15" s="1" t="s">
        <v>39</v>
      </c>
      <c r="B15" s="1">
        <f t="shared" si="0"/>
        <v>204</v>
      </c>
    </row>
    <row r="16" spans="1:4" ht="15.75" customHeight="1" x14ac:dyDescent="0.25">
      <c r="A16" s="1" t="s">
        <v>46</v>
      </c>
      <c r="B16" s="1">
        <f t="shared" si="0"/>
        <v>47</v>
      </c>
    </row>
    <row r="17" spans="1:2" ht="15.75" customHeight="1" x14ac:dyDescent="0.25">
      <c r="A17" s="1" t="s">
        <v>43</v>
      </c>
      <c r="B17" s="1">
        <f t="shared" si="0"/>
        <v>79</v>
      </c>
    </row>
    <row r="18" spans="1:2" ht="15.75" customHeight="1" x14ac:dyDescent="0.25">
      <c r="A18" s="1" t="s">
        <v>62</v>
      </c>
      <c r="B18" s="1">
        <f t="shared" si="0"/>
        <v>220</v>
      </c>
    </row>
    <row r="19" spans="1:2" ht="15.75" customHeight="1" x14ac:dyDescent="0.25">
      <c r="A19" s="1" t="s">
        <v>62</v>
      </c>
      <c r="B19" s="1">
        <f t="shared" si="0"/>
        <v>220</v>
      </c>
    </row>
    <row r="20" spans="1:2" ht="12.5" x14ac:dyDescent="0.25">
      <c r="A20" s="1" t="s">
        <v>30</v>
      </c>
      <c r="B20" s="1">
        <f t="shared" si="0"/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3"/>
  <sheetViews>
    <sheetView tabSelected="1" topLeftCell="A11" workbookViewId="0">
      <selection activeCell="D24" sqref="D24"/>
    </sheetView>
  </sheetViews>
  <sheetFormatPr defaultColWidth="12.6328125" defaultRowHeight="15.75" customHeight="1" x14ac:dyDescent="0.25"/>
  <cols>
    <col min="1" max="1" width="33.26953125" style="3" customWidth="1"/>
    <col min="2" max="2" width="30.26953125" style="3" customWidth="1"/>
    <col min="3" max="3" width="12.1796875" customWidth="1"/>
    <col min="4" max="4" width="12.6328125" style="3"/>
    <col min="5" max="5" width="33" customWidth="1"/>
    <col min="6" max="6" width="23.7265625" customWidth="1"/>
    <col min="7" max="7" width="18.453125" bestFit="1" customWidth="1"/>
  </cols>
  <sheetData>
    <row r="1" spans="1:8" ht="15.75" customHeight="1" x14ac:dyDescent="0.25">
      <c r="A1" s="4" t="s">
        <v>76</v>
      </c>
      <c r="B1" s="4" t="s">
        <v>77</v>
      </c>
      <c r="C1" s="2" t="s">
        <v>78</v>
      </c>
      <c r="D1" s="4" t="s">
        <v>79</v>
      </c>
      <c r="E1" s="2" t="s">
        <v>85</v>
      </c>
      <c r="F1" s="4" t="s">
        <v>80</v>
      </c>
      <c r="G1" s="2" t="s">
        <v>89</v>
      </c>
    </row>
    <row r="2" spans="1:8" ht="15.75" customHeight="1" x14ac:dyDescent="0.25">
      <c r="A2" s="3">
        <v>1047</v>
      </c>
      <c r="B2" s="6">
        <v>9882</v>
      </c>
      <c r="C2" s="1" t="s">
        <v>3</v>
      </c>
      <c r="D2" s="6">
        <v>37</v>
      </c>
      <c r="E2" s="1" t="s">
        <v>84</v>
      </c>
      <c r="F2" s="1"/>
      <c r="G2" s="1" t="s">
        <v>90</v>
      </c>
      <c r="H2" s="1"/>
    </row>
    <row r="3" spans="1:8" ht="15.75" customHeight="1" x14ac:dyDescent="0.25">
      <c r="A3" s="3">
        <v>1047</v>
      </c>
      <c r="B3" s="6">
        <v>9577</v>
      </c>
      <c r="C3" s="1" t="s">
        <v>14</v>
      </c>
      <c r="D3" s="6">
        <v>64</v>
      </c>
      <c r="E3" s="1" t="s">
        <v>84</v>
      </c>
      <c r="F3" s="1"/>
      <c r="G3" s="1" t="s">
        <v>91</v>
      </c>
      <c r="H3" s="1"/>
    </row>
    <row r="4" spans="1:8" ht="15.75" customHeight="1" x14ac:dyDescent="0.25">
      <c r="A4" s="3">
        <v>1450</v>
      </c>
      <c r="B4" s="6">
        <v>9838</v>
      </c>
      <c r="C4" s="1" t="s">
        <v>0</v>
      </c>
      <c r="D4" s="6">
        <v>25</v>
      </c>
      <c r="E4" s="1" t="s">
        <v>86</v>
      </c>
      <c r="F4" s="8" t="s">
        <v>87</v>
      </c>
      <c r="G4" s="8" t="s">
        <v>95</v>
      </c>
    </row>
    <row r="5" spans="1:8" ht="15.75" customHeight="1" x14ac:dyDescent="0.25">
      <c r="A5" s="3">
        <v>1450</v>
      </c>
      <c r="B5" s="6">
        <v>9628</v>
      </c>
      <c r="C5" s="1" t="s">
        <v>20</v>
      </c>
      <c r="D5" s="6">
        <v>87</v>
      </c>
      <c r="E5" s="8" t="s">
        <v>86</v>
      </c>
      <c r="F5" s="8" t="s">
        <v>82</v>
      </c>
      <c r="G5" t="s">
        <v>96</v>
      </c>
    </row>
    <row r="6" spans="1:8" ht="15.75" customHeight="1" x14ac:dyDescent="0.25">
      <c r="A6" s="3">
        <v>1452</v>
      </c>
      <c r="B6" s="6">
        <v>9615</v>
      </c>
      <c r="C6" s="1" t="s">
        <v>24</v>
      </c>
      <c r="D6" s="6">
        <v>56</v>
      </c>
      <c r="E6" s="1" t="s">
        <v>84</v>
      </c>
      <c r="F6" s="1"/>
      <c r="G6" s="8" t="s">
        <v>97</v>
      </c>
    </row>
    <row r="7" spans="1:8" ht="15.75" customHeight="1" x14ac:dyDescent="0.25">
      <c r="A7" s="3">
        <v>1452</v>
      </c>
      <c r="B7" s="6">
        <v>9823</v>
      </c>
      <c r="C7" s="1" t="s">
        <v>28</v>
      </c>
      <c r="D7" s="6">
        <v>46.2</v>
      </c>
      <c r="E7" s="1" t="s">
        <v>84</v>
      </c>
      <c r="F7" s="1"/>
      <c r="G7" s="8" t="s">
        <v>98</v>
      </c>
    </row>
    <row r="8" spans="1:8" ht="15.75" customHeight="1" x14ac:dyDescent="0.25">
      <c r="A8" s="3">
        <v>1452</v>
      </c>
      <c r="B8" s="6">
        <v>9830</v>
      </c>
      <c r="C8" s="1" t="s">
        <v>32</v>
      </c>
      <c r="D8" s="6">
        <v>12</v>
      </c>
      <c r="E8" s="1" t="s">
        <v>84</v>
      </c>
      <c r="F8" s="1"/>
      <c r="G8" t="s">
        <v>101</v>
      </c>
    </row>
    <row r="9" spans="1:8" ht="15.75" customHeight="1" x14ac:dyDescent="0.25">
      <c r="A9" s="3">
        <v>1452</v>
      </c>
      <c r="B9" s="6">
        <v>9834</v>
      </c>
      <c r="C9" s="1" t="s">
        <v>33</v>
      </c>
      <c r="D9" s="6">
        <v>30</v>
      </c>
      <c r="E9" s="8" t="s">
        <v>86</v>
      </c>
      <c r="F9" s="8" t="s">
        <v>88</v>
      </c>
      <c r="G9" t="s">
        <v>102</v>
      </c>
    </row>
    <row r="10" spans="1:8" ht="15.75" customHeight="1" x14ac:dyDescent="0.25">
      <c r="A10" s="3">
        <v>1452</v>
      </c>
      <c r="B10" s="6">
        <v>9835</v>
      </c>
      <c r="C10" s="1" t="s">
        <v>35</v>
      </c>
      <c r="D10" s="6">
        <v>18</v>
      </c>
      <c r="E10" s="1" t="s">
        <v>84</v>
      </c>
      <c r="F10" s="1"/>
      <c r="G10" t="s">
        <v>103</v>
      </c>
    </row>
    <row r="11" spans="1:8" ht="15.75" customHeight="1" x14ac:dyDescent="0.25">
      <c r="A11" s="3">
        <v>1452</v>
      </c>
      <c r="B11" s="6">
        <v>9825</v>
      </c>
      <c r="C11" s="1" t="s">
        <v>33</v>
      </c>
      <c r="D11" s="6">
        <v>30</v>
      </c>
      <c r="E11" s="1" t="s">
        <v>84</v>
      </c>
      <c r="F11" s="1"/>
      <c r="G11" t="s">
        <v>100</v>
      </c>
    </row>
    <row r="12" spans="1:8" ht="15.75" customHeight="1" x14ac:dyDescent="0.25">
      <c r="A12" s="3">
        <v>1452</v>
      </c>
      <c r="B12" s="6">
        <v>9826</v>
      </c>
      <c r="C12" s="1" t="s">
        <v>45</v>
      </c>
      <c r="D12" s="6">
        <v>29.25</v>
      </c>
      <c r="E12" s="1" t="s">
        <v>84</v>
      </c>
      <c r="F12" s="1"/>
      <c r="G12" t="s">
        <v>99</v>
      </c>
    </row>
    <row r="13" spans="1:8" ht="15.75" customHeight="1" x14ac:dyDescent="0.25">
      <c r="A13" s="3">
        <v>1452</v>
      </c>
      <c r="B13" s="7" t="s">
        <v>81</v>
      </c>
      <c r="C13" s="1" t="s">
        <v>19</v>
      </c>
      <c r="D13" s="6">
        <v>62</v>
      </c>
      <c r="E13" s="1" t="s">
        <v>84</v>
      </c>
      <c r="F13" s="1"/>
      <c r="G13" s="1" t="s">
        <v>104</v>
      </c>
    </row>
    <row r="14" spans="1:8" ht="15.75" customHeight="1" x14ac:dyDescent="0.25">
      <c r="A14" s="3">
        <v>1452</v>
      </c>
      <c r="B14" s="6">
        <v>9759</v>
      </c>
      <c r="C14" s="1" t="s">
        <v>38</v>
      </c>
      <c r="D14" s="6">
        <v>23.5</v>
      </c>
      <c r="E14" s="1" t="s">
        <v>84</v>
      </c>
      <c r="F14" s="1"/>
      <c r="G14" t="s">
        <v>105</v>
      </c>
    </row>
    <row r="15" spans="1:8" ht="15.75" customHeight="1" x14ac:dyDescent="0.25">
      <c r="A15" s="3">
        <v>1452</v>
      </c>
      <c r="B15" s="6">
        <v>9772</v>
      </c>
      <c r="C15" s="1" t="s">
        <v>52</v>
      </c>
      <c r="D15" s="6">
        <v>59</v>
      </c>
      <c r="E15" s="1" t="s">
        <v>84</v>
      </c>
      <c r="F15" s="1"/>
      <c r="G15" t="s">
        <v>106</v>
      </c>
    </row>
    <row r="16" spans="1:8" ht="15.75" customHeight="1" x14ac:dyDescent="0.25">
      <c r="A16" s="3">
        <v>1452</v>
      </c>
      <c r="B16" s="6">
        <v>9781</v>
      </c>
      <c r="C16" s="1" t="s">
        <v>54</v>
      </c>
      <c r="D16" s="6">
        <v>27</v>
      </c>
      <c r="E16" s="1" t="s">
        <v>84</v>
      </c>
      <c r="F16" s="1"/>
      <c r="G16" t="s">
        <v>107</v>
      </c>
    </row>
    <row r="17" spans="1:7" ht="15.75" customHeight="1" x14ac:dyDescent="0.25">
      <c r="A17" s="3">
        <v>1452</v>
      </c>
      <c r="B17" s="6">
        <v>9780</v>
      </c>
      <c r="C17" s="1" t="s">
        <v>48</v>
      </c>
      <c r="D17" s="6">
        <v>20.100000000000001</v>
      </c>
      <c r="E17" s="1" t="s">
        <v>84</v>
      </c>
      <c r="F17" s="1"/>
      <c r="G17" t="s">
        <v>107</v>
      </c>
    </row>
    <row r="18" spans="1:7" ht="15.75" customHeight="1" x14ac:dyDescent="0.25">
      <c r="A18" s="3">
        <v>1452</v>
      </c>
      <c r="B18" s="6">
        <v>9766</v>
      </c>
      <c r="C18" s="1" t="s">
        <v>29</v>
      </c>
      <c r="D18" s="6">
        <v>26</v>
      </c>
      <c r="E18" s="8" t="s">
        <v>86</v>
      </c>
      <c r="F18" s="1" t="s">
        <v>83</v>
      </c>
      <c r="G18" t="s">
        <v>108</v>
      </c>
    </row>
    <row r="19" spans="1:7" ht="15.75" customHeight="1" x14ac:dyDescent="0.25">
      <c r="A19" s="3">
        <v>1452</v>
      </c>
      <c r="B19" s="6">
        <v>9614</v>
      </c>
      <c r="C19" s="1" t="s">
        <v>59</v>
      </c>
      <c r="D19" s="6">
        <v>24</v>
      </c>
      <c r="E19" s="1" t="s">
        <v>84</v>
      </c>
      <c r="F19" s="1"/>
      <c r="G19" t="s">
        <v>109</v>
      </c>
    </row>
    <row r="20" spans="1:7" ht="15.75" customHeight="1" x14ac:dyDescent="0.25">
      <c r="A20" s="3">
        <v>1450</v>
      </c>
      <c r="B20" s="6" t="s">
        <v>93</v>
      </c>
      <c r="C20" s="1" t="s">
        <v>5</v>
      </c>
      <c r="D20" s="6">
        <v>26</v>
      </c>
      <c r="E20" s="1" t="s">
        <v>84</v>
      </c>
      <c r="F20" s="1"/>
      <c r="G20" s="1" t="s">
        <v>94</v>
      </c>
    </row>
    <row r="21" spans="1:7" ht="12.5" x14ac:dyDescent="0.25">
      <c r="A21" s="3">
        <v>2007</v>
      </c>
      <c r="B21" s="6">
        <v>9746</v>
      </c>
      <c r="C21" s="1" t="s">
        <v>33</v>
      </c>
      <c r="D21" s="6">
        <v>30</v>
      </c>
      <c r="E21" s="1" t="s">
        <v>84</v>
      </c>
      <c r="F21" s="1"/>
      <c r="G21" t="s">
        <v>110</v>
      </c>
    </row>
    <row r="22" spans="1:7" ht="12.5" x14ac:dyDescent="0.25">
      <c r="A22" s="3">
        <v>1173</v>
      </c>
      <c r="B22" s="6">
        <v>9578</v>
      </c>
      <c r="C22" s="1" t="s">
        <v>65</v>
      </c>
      <c r="D22" s="6">
        <v>34.75</v>
      </c>
      <c r="E22" s="1" t="s">
        <v>84</v>
      </c>
      <c r="G22" t="s">
        <v>92</v>
      </c>
    </row>
    <row r="23" spans="1:7" ht="12.5" x14ac:dyDescent="0.25">
      <c r="A23" s="5">
        <v>0</v>
      </c>
      <c r="B23" s="6" t="s">
        <v>112</v>
      </c>
      <c r="C23" s="1" t="s">
        <v>46</v>
      </c>
      <c r="D23" s="7">
        <v>0</v>
      </c>
      <c r="E23" s="1" t="s">
        <v>84</v>
      </c>
      <c r="F23" s="1"/>
      <c r="G23" s="1" t="s">
        <v>111</v>
      </c>
    </row>
  </sheetData>
  <dataValidations count="1">
    <dataValidation type="list" allowBlank="1" showInputMessage="1" showErrorMessage="1" sqref="E2:E1048576" xr:uid="{BF41B9B9-3005-4589-AEE5-10FF9C1E5FEC}">
      <formula1>"Dispute,Correct"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4"/>
  <sheetViews>
    <sheetView workbookViewId="0">
      <selection activeCell="F1" sqref="F1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1</v>
      </c>
      <c r="B1" s="1">
        <f t="shared" ref="B1:B24" si="0">LEFT(A1,FIND(".",A1)-1)*400 + MID(A1,FIND(".",A1)+1,FIND(".",A1,FIND(".",A1)+1)-FIND(".",A1)-1)*20 + RIGHT(A1,LEN(A1)-FIND(".",A1,FIND(".",A1)+1))</f>
        <v>255</v>
      </c>
      <c r="C1" s="1">
        <f>SUM(B:B)</f>
        <v>2102</v>
      </c>
      <c r="D1" s="1" t="str">
        <f>INT(C1/400) &amp; "." &amp; INT(MOD(C1,400)/20) &amp; "." &amp; MOD(MOD(C1,400),20)</f>
        <v>5.5.2</v>
      </c>
    </row>
    <row r="2" spans="1:4" ht="15.75" customHeight="1" x14ac:dyDescent="0.25">
      <c r="A2" s="1" t="s">
        <v>5</v>
      </c>
      <c r="B2" s="1">
        <f t="shared" si="0"/>
        <v>70</v>
      </c>
      <c r="C2" s="1" t="s">
        <v>7</v>
      </c>
      <c r="D2" s="1" t="s">
        <v>9</v>
      </c>
    </row>
    <row r="3" spans="1:4" ht="15.75" customHeight="1" x14ac:dyDescent="0.25">
      <c r="A3" s="1" t="s">
        <v>12</v>
      </c>
      <c r="B3" s="1">
        <f t="shared" si="0"/>
        <v>37</v>
      </c>
    </row>
    <row r="4" spans="1:4" ht="15.75" customHeight="1" x14ac:dyDescent="0.25">
      <c r="A4" s="1" t="s">
        <v>13</v>
      </c>
      <c r="B4" s="1">
        <f t="shared" si="0"/>
        <v>11</v>
      </c>
    </row>
    <row r="5" spans="1:4" ht="15.75" customHeight="1" x14ac:dyDescent="0.25">
      <c r="A5" s="1" t="s">
        <v>17</v>
      </c>
      <c r="B5" s="1">
        <f t="shared" si="0"/>
        <v>225</v>
      </c>
    </row>
    <row r="6" spans="1:4" ht="15.75" customHeight="1" x14ac:dyDescent="0.25">
      <c r="A6" s="1" t="s">
        <v>18</v>
      </c>
      <c r="B6" s="1">
        <f t="shared" si="0"/>
        <v>13</v>
      </c>
    </row>
    <row r="7" spans="1:4" ht="15.75" customHeight="1" x14ac:dyDescent="0.25">
      <c r="A7" s="1" t="s">
        <v>16</v>
      </c>
      <c r="B7" s="1">
        <f t="shared" si="0"/>
        <v>200</v>
      </c>
    </row>
    <row r="8" spans="1:4" ht="15.75" customHeight="1" x14ac:dyDescent="0.25">
      <c r="A8" s="1" t="s">
        <v>22</v>
      </c>
      <c r="B8" s="1">
        <f t="shared" si="0"/>
        <v>21</v>
      </c>
    </row>
    <row r="9" spans="1:4" ht="15.75" customHeight="1" x14ac:dyDescent="0.25">
      <c r="A9" s="1" t="s">
        <v>5</v>
      </c>
      <c r="B9" s="1">
        <f t="shared" si="0"/>
        <v>70</v>
      </c>
    </row>
    <row r="10" spans="1:4" ht="15.75" customHeight="1" x14ac:dyDescent="0.25">
      <c r="A10" s="1" t="s">
        <v>27</v>
      </c>
      <c r="B10" s="1">
        <f t="shared" si="0"/>
        <v>24</v>
      </c>
    </row>
    <row r="11" spans="1:4" ht="15.75" customHeight="1" x14ac:dyDescent="0.25">
      <c r="A11" s="1" t="s">
        <v>30</v>
      </c>
      <c r="B11" s="1">
        <f t="shared" si="0"/>
        <v>116</v>
      </c>
    </row>
    <row r="12" spans="1:4" ht="15.75" customHeight="1" x14ac:dyDescent="0.25">
      <c r="A12" s="1" t="s">
        <v>34</v>
      </c>
      <c r="B12" s="1">
        <f t="shared" si="0"/>
        <v>44</v>
      </c>
    </row>
    <row r="13" spans="1:4" ht="15.75" customHeight="1" x14ac:dyDescent="0.25">
      <c r="A13" s="1" t="s">
        <v>36</v>
      </c>
      <c r="B13" s="1">
        <f t="shared" si="0"/>
        <v>118</v>
      </c>
    </row>
    <row r="14" spans="1:4" ht="15.75" customHeight="1" x14ac:dyDescent="0.25">
      <c r="A14" s="1" t="s">
        <v>39</v>
      </c>
      <c r="B14" s="1">
        <f t="shared" si="0"/>
        <v>204</v>
      </c>
    </row>
    <row r="15" spans="1:4" ht="15.75" customHeight="1" x14ac:dyDescent="0.25">
      <c r="A15" s="1" t="s">
        <v>41</v>
      </c>
      <c r="B15" s="1">
        <f t="shared" si="0"/>
        <v>29</v>
      </c>
    </row>
    <row r="16" spans="1:4" ht="15.75" customHeight="1" x14ac:dyDescent="0.25">
      <c r="A16" s="1" t="s">
        <v>44</v>
      </c>
      <c r="B16" s="1">
        <f t="shared" si="0"/>
        <v>125</v>
      </c>
    </row>
    <row r="17" spans="1:2" ht="15.75" customHeight="1" x14ac:dyDescent="0.25">
      <c r="A17" s="1" t="s">
        <v>48</v>
      </c>
      <c r="B17" s="1">
        <f t="shared" si="0"/>
        <v>54</v>
      </c>
    </row>
    <row r="18" spans="1:2" ht="15.75" customHeight="1" x14ac:dyDescent="0.25">
      <c r="A18" s="1" t="s">
        <v>50</v>
      </c>
      <c r="B18" s="1">
        <f t="shared" si="0"/>
        <v>40</v>
      </c>
    </row>
    <row r="19" spans="1:2" ht="15.75" customHeight="1" x14ac:dyDescent="0.25">
      <c r="A19" s="1" t="s">
        <v>47</v>
      </c>
      <c r="B19" s="1">
        <f t="shared" si="0"/>
        <v>45</v>
      </c>
    </row>
    <row r="20" spans="1:2" ht="12.5" x14ac:dyDescent="0.25">
      <c r="A20" s="1" t="s">
        <v>13</v>
      </c>
      <c r="B20" s="1">
        <f t="shared" si="0"/>
        <v>11</v>
      </c>
    </row>
    <row r="21" spans="1:2" ht="12.5" x14ac:dyDescent="0.25">
      <c r="A21" s="1" t="s">
        <v>50</v>
      </c>
      <c r="B21" s="1">
        <f t="shared" si="0"/>
        <v>40</v>
      </c>
    </row>
    <row r="22" spans="1:2" ht="12.5" x14ac:dyDescent="0.25">
      <c r="A22" s="1" t="s">
        <v>57</v>
      </c>
      <c r="B22" s="1">
        <f t="shared" si="0"/>
        <v>110</v>
      </c>
    </row>
    <row r="23" spans="1:2" ht="12.5" x14ac:dyDescent="0.25">
      <c r="A23" s="1" t="s">
        <v>58</v>
      </c>
      <c r="B23" s="1">
        <f t="shared" si="0"/>
        <v>129</v>
      </c>
    </row>
    <row r="24" spans="1:2" ht="12.5" x14ac:dyDescent="0.25">
      <c r="A24" s="1" t="s">
        <v>61</v>
      </c>
      <c r="B24" s="1">
        <f t="shared" si="0"/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0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66</v>
      </c>
      <c r="B1" s="1">
        <f t="shared" ref="B1:B20" si="0">LEFT(A1,FIND(".",A1)-1)*400 + MID(A1,FIND(".",A1)+1,FIND(".",A1,FIND(".",A1)+1)-FIND(".",A1)-1)*20 + RIGHT(A1,LEN(A1)-FIND(".",A1,FIND(".",A1)+1))</f>
        <v>236</v>
      </c>
      <c r="C1" s="1">
        <f>SUM(B:B)</f>
        <v>2090</v>
      </c>
      <c r="D1" s="1" t="str">
        <f>INT(C1/400) &amp; "." &amp; INT(MOD(C1,400)/20) &amp; "." &amp; MOD(MOD(C1,400),20)</f>
        <v>5.4.10</v>
      </c>
    </row>
    <row r="2" spans="1:4" ht="15.75" customHeight="1" x14ac:dyDescent="0.25">
      <c r="A2" s="1" t="s">
        <v>34</v>
      </c>
      <c r="B2" s="1">
        <f t="shared" si="0"/>
        <v>44</v>
      </c>
      <c r="C2" s="1" t="s">
        <v>7</v>
      </c>
      <c r="D2" s="1" t="s">
        <v>9</v>
      </c>
    </row>
    <row r="3" spans="1:4" ht="15.75" customHeight="1" x14ac:dyDescent="0.25">
      <c r="A3" s="1" t="s">
        <v>67</v>
      </c>
      <c r="B3" s="1">
        <f t="shared" si="0"/>
        <v>61</v>
      </c>
    </row>
    <row r="4" spans="1:4" ht="15.75" customHeight="1" x14ac:dyDescent="0.25">
      <c r="A4" s="1" t="s">
        <v>68</v>
      </c>
      <c r="B4" s="1">
        <f t="shared" si="0"/>
        <v>148</v>
      </c>
    </row>
    <row r="5" spans="1:4" ht="15.75" customHeight="1" x14ac:dyDescent="0.25">
      <c r="A5" s="1" t="s">
        <v>0</v>
      </c>
      <c r="B5" s="1">
        <f t="shared" si="0"/>
        <v>67</v>
      </c>
    </row>
    <row r="6" spans="1:4" ht="15.75" customHeight="1" x14ac:dyDescent="0.25">
      <c r="A6" s="1" t="s">
        <v>69</v>
      </c>
      <c r="B6" s="1">
        <f t="shared" si="0"/>
        <v>71</v>
      </c>
    </row>
    <row r="7" spans="1:4" ht="15.75" customHeight="1" x14ac:dyDescent="0.25">
      <c r="A7" s="1" t="s">
        <v>0</v>
      </c>
      <c r="B7" s="1">
        <f t="shared" si="0"/>
        <v>67</v>
      </c>
    </row>
    <row r="8" spans="1:4" ht="15.75" customHeight="1" x14ac:dyDescent="0.25">
      <c r="A8" s="1" t="s">
        <v>23</v>
      </c>
      <c r="B8" s="1">
        <f t="shared" si="0"/>
        <v>19</v>
      </c>
    </row>
    <row r="9" spans="1:4" ht="15.75" customHeight="1" x14ac:dyDescent="0.25">
      <c r="A9" s="1" t="s">
        <v>70</v>
      </c>
      <c r="B9" s="1">
        <f t="shared" si="0"/>
        <v>101</v>
      </c>
    </row>
    <row r="10" spans="1:4" ht="15.75" customHeight="1" x14ac:dyDescent="0.25">
      <c r="A10" s="1" t="s">
        <v>71</v>
      </c>
      <c r="B10" s="1">
        <f t="shared" si="0"/>
        <v>60</v>
      </c>
    </row>
    <row r="11" spans="1:4" ht="15.75" customHeight="1" x14ac:dyDescent="0.25">
      <c r="A11" s="1" t="s">
        <v>35</v>
      </c>
      <c r="B11" s="1">
        <f t="shared" si="0"/>
        <v>48</v>
      </c>
    </row>
    <row r="12" spans="1:4" ht="15.75" customHeight="1" x14ac:dyDescent="0.25">
      <c r="A12" s="1" t="s">
        <v>72</v>
      </c>
      <c r="B12" s="1">
        <f t="shared" si="0"/>
        <v>42</v>
      </c>
    </row>
    <row r="13" spans="1:4" ht="15.75" customHeight="1" x14ac:dyDescent="0.25">
      <c r="A13" s="1" t="s">
        <v>73</v>
      </c>
      <c r="B13" s="1">
        <f t="shared" si="0"/>
        <v>246</v>
      </c>
    </row>
    <row r="14" spans="1:4" ht="15.75" customHeight="1" x14ac:dyDescent="0.25">
      <c r="A14" s="1" t="s">
        <v>35</v>
      </c>
      <c r="B14" s="1">
        <f t="shared" si="0"/>
        <v>48</v>
      </c>
    </row>
    <row r="15" spans="1:4" ht="15.75" customHeight="1" x14ac:dyDescent="0.25">
      <c r="A15" s="1" t="s">
        <v>28</v>
      </c>
      <c r="B15" s="1">
        <f t="shared" si="0"/>
        <v>124</v>
      </c>
    </row>
    <row r="16" spans="1:4" ht="15.75" customHeight="1" x14ac:dyDescent="0.25">
      <c r="A16" s="1" t="s">
        <v>47</v>
      </c>
      <c r="B16" s="1">
        <f t="shared" si="0"/>
        <v>45</v>
      </c>
    </row>
    <row r="17" spans="1:2" ht="15.75" customHeight="1" x14ac:dyDescent="0.25">
      <c r="A17" s="1" t="s">
        <v>74</v>
      </c>
      <c r="B17" s="1">
        <f t="shared" si="0"/>
        <v>190</v>
      </c>
    </row>
    <row r="18" spans="1:2" ht="15.75" customHeight="1" x14ac:dyDescent="0.25">
      <c r="A18" s="1" t="s">
        <v>59</v>
      </c>
      <c r="B18" s="1">
        <f t="shared" si="0"/>
        <v>64</v>
      </c>
    </row>
    <row r="19" spans="1:2" ht="15.75" customHeight="1" x14ac:dyDescent="0.25">
      <c r="A19" s="1" t="s">
        <v>75</v>
      </c>
      <c r="B19" s="1">
        <f t="shared" si="0"/>
        <v>209</v>
      </c>
    </row>
    <row r="20" spans="1:2" ht="12.5" x14ac:dyDescent="0.25">
      <c r="A20" s="1" t="s">
        <v>16</v>
      </c>
      <c r="B20" s="1">
        <f t="shared" si="0"/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66</v>
      </c>
      <c r="B1" s="1">
        <f>LEFT(A1,FIND(".",A1)-1)*400 + MID(A1,FIND(".",A1)+1,FIND(".",A1,FIND(".",A1)+1)-FIND(".",A1)-1)*20 + RIGHT(A1,LEN(A1)-FIND(".",A1,FIND(".",A1)+1))</f>
        <v>236</v>
      </c>
      <c r="C1" s="1">
        <f>SUM(B:B)</f>
        <v>236</v>
      </c>
      <c r="D1" s="1" t="str">
        <f>INT(C1/400) &amp; "." &amp; INT(MOD(C1,400)/20) &amp; "." &amp; MOD(MOD(C1,400),20)</f>
        <v>0.11.16</v>
      </c>
    </row>
    <row r="2" spans="1:4" ht="15.75" customHeight="1" x14ac:dyDescent="0.25">
      <c r="C2" s="1" t="s">
        <v>7</v>
      </c>
      <c r="D2" s="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engineer Dada details</vt:lpstr>
      <vt:lpstr>Md. Dada details</vt:lpstr>
      <vt:lpstr>M.k.khan Details</vt:lpstr>
      <vt:lpstr>bade dada details</vt:lpstr>
      <vt:lpstr>master dada details</vt:lpstr>
      <vt:lpstr>Copy of master dada details 1</vt:lpstr>
      <vt:lpstr>Copy of master dada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Salim Khan</cp:lastModifiedBy>
  <dcterms:modified xsi:type="dcterms:W3CDTF">2026-09-18T07:44:57Z</dcterms:modified>
</cp:coreProperties>
</file>